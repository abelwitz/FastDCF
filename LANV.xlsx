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<sst xmlns="http://schemas.openxmlformats.org/spreadsheetml/2006/main" count="74" uniqueCount="70">
  <si>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</si>
  <si>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</si>
  <si>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</si>
  <si>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</si>
  <si>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</si>
  <si>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</si>
  <si>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</si>
  <si>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</si>
  <si>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</si>
  <si>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</si>
  <si>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</si>
  <si>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</si>
  <si>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</si>
  <si>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</si>
  <si>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</si>
  <si>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</si>
  <si>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</si>
  <si>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</si>
  <si>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</si>
  <si>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</si>
  <si>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</si>
  <si>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</si>
  <si>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</si>
  <si>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</si>
  <si>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</si>
  <si>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</si>
  <si>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</si>
  <si>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</si>
  <si>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</si>
  <si>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</si>
  <si>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</si>
  <si>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</si>
  <si>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</si>
  <si>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</si>
  <si>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</si>
  <si>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</si>
  <si>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</si>
  <si>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</si>
  <si>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</si>
  <si>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</si>
  <si>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</si>
  <si>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</si>
  <si>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</si>
  <si>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</si>
  <si>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</si>
  <si>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</si>
  <si>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</si>
  <si>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https://finance.yahoo.com/quote/LANV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</si>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</sst>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LANV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LANV" TargetMode="External"/><Relationship Id="rId5" Type="http://schemas.openxmlformats.org/officeDocument/2006/relationships/hyperlink" Target="https://finance.yahoo.com/quote/LANV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3" x14ac:dyDescent="0.25">
      <c r="A2" t="s">
        <v>1</v>
      </c>
      <c r="B2">
        <v>829618</v>
      </c>
      <c r="C2">
        <v>343106</v>
      </c>
    </row>
    <row r="3" spans="1:3" x14ac:dyDescent="0.25">
      <c r="A3" t="s">
        <v>2</v>
      </c>
      <c r="B3">
        <v>0</v>
      </c>
      <c r="C3">
        <v>0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3" x14ac:dyDescent="0.25">
      <c r="A5" t="s">
        <v>4</v>
      </c>
      <c r="B5">
        <v>0</v>
      </c>
      <c r="C5">
        <v>0</v>
      </c>
    </row>
    <row r="6" spans="1:3" x14ac:dyDescent="0.25">
      <c r="A6" t="s">
        <v>5</v>
      </c>
      <c r="B6">
        <v>119369</v>
      </c>
      <c r="C6">
        <v>462971</v>
      </c>
    </row>
    <row r="7" spans="1:3" x14ac:dyDescent="0.25">
      <c r="A7" t="s">
        <v>6</v>
      </c>
      <c r="B7">
        <v>695378</v>
      </c>
      <c r="C7">
        <v>525390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D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E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" x14ac:dyDescent="0.25">
      <c r="A11" t="s">
        <v>10</v>
      </c>
    </row>
    <row r="12" spans="1:3" x14ac:dyDescent="0.25">
      <c r="A12" t="s">
        <v>11</v>
      </c>
      <c r="B12">
        <v>0</v>
      </c>
      <c r="C12">
        <v>0</v>
      </c>
    </row>
    <row r="13" spans="1:3" x14ac:dyDescent="0.25">
      <c r="A13" t="s">
        <v>12</v>
      </c>
      <c r="B13">
        <v>0</v>
      </c>
      <c r="C13">
        <v>0</v>
      </c>
    </row>
    <row r="14" spans="1:26" x14ac:dyDescent="0.25">
      <c r="A14" t="s">
        <v>13</v>
      </c>
      <c r="B14">
        <f>B12+B13</f>
      </c>
      <c r="C14">
        <f>C12+C13</f>
      </c>
      <c r="D14">
        <f>D12+D13</f>
      </c>
      <c r="E14">
        <f>E12+E13</f>
      </c>
      <c r="F14">
        <f>F12+F13</f>
      </c>
      <c r="G14">
        <f>G12+G13</f>
      </c>
      <c r="H14">
        <f>H12+H13</f>
      </c>
      <c r="I14">
        <f>I12+I13</f>
      </c>
      <c r="J14">
        <f>J12+J13</f>
      </c>
      <c r="K14">
        <f>K12+K13</f>
      </c>
      <c r="L14">
        <f>L12+L13</f>
      </c>
      <c r="M14">
        <f>M12+M13</f>
      </c>
      <c r="N14">
        <f>N12+N13</f>
      </c>
      <c r="O14">
        <f>O12+O13</f>
      </c>
      <c r="P14">
        <f>P12+P13</f>
      </c>
      <c r="Q14">
        <f>Q12+Q13</f>
      </c>
      <c r="R14">
        <f>R12+R13</f>
      </c>
      <c r="S14">
        <f>S12+S13</f>
      </c>
      <c r="T14">
        <f>T12+T13</f>
      </c>
      <c r="U14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1" x14ac:dyDescent="0.25">
      <c r="A15" t="s">
        <v>14</v>
      </c>
    </row>
    <row r="16" spans="1:26" x14ac:dyDescent="0.25">
      <c r="A16" t="s">
        <v>15</v>
      </c>
      <c r="B16">
        <f>B9+B14-B15</f>
      </c>
      <c r="C16">
        <f>C9+C14-C15</f>
      </c>
      <c r="D16">
        <f>D9+D14-D15</f>
      </c>
      <c r="E16">
        <f>E9+E14-E15</f>
      </c>
      <c r="F16">
        <f>F9+F14-F15</f>
      </c>
      <c r="G16">
        <f>G9+G14-G15</f>
      </c>
      <c r="H16">
        <f>H9+H14-H15</f>
      </c>
      <c r="I16">
        <f>I9+I14-I15</f>
      </c>
      <c r="J16">
        <f>J9+J14-J15</f>
      </c>
      <c r="K16">
        <f>K9+K14-K15</f>
      </c>
      <c r="L16">
        <f>L9+L14-L15</f>
      </c>
      <c r="M16">
        <f>M9+M14-M15</f>
      </c>
      <c r="N16">
        <f>N9+N14-N15</f>
      </c>
      <c r="O16">
        <f>O9+O14-O15</f>
      </c>
      <c r="P16">
        <f>P9+P14-P15</f>
      </c>
      <c r="Q16">
        <f>Q9+Q14-Q15</f>
      </c>
      <c r="R16">
        <f>R9+R14-R15</f>
      </c>
      <c r="S16">
        <f>S9+S14-S15</f>
      </c>
      <c r="T16">
        <f>T9+T14-T15</f>
      </c>
      <c r="U16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3" x14ac:dyDescent="0.25">
      <c r="A17" t="s">
        <v>16</v>
      </c>
      <c r="B17">
        <v>0</v>
      </c>
      <c r="C17">
        <v>0</v>
      </c>
    </row>
    <row r="18" spans="1:3" x14ac:dyDescent="0.25">
      <c r="A18" t="s">
        <v>17</v>
      </c>
      <c r="B18">
        <v>0</v>
      </c>
      <c r="C18">
        <v>0</v>
      </c>
    </row>
    <row r="19" spans="1:3" x14ac:dyDescent="0.25">
      <c r="A19" t="s">
        <v>18</v>
      </c>
      <c r="B19">
        <v>0</v>
      </c>
      <c r="C19">
        <v>0</v>
      </c>
    </row>
    <row r="20" spans="1:3" x14ac:dyDescent="0.25">
      <c r="A20" t="s">
        <v>19</v>
      </c>
      <c r="B20">
        <v>0</v>
      </c>
      <c r="C20">
        <v>0</v>
      </c>
    </row>
    <row r="21" spans="1:1" x14ac:dyDescent="0.25">
      <c r="A21" t="s">
        <v>20</v>
      </c>
    </row>
    <row r="22" spans="1:26" x14ac:dyDescent="0.25">
      <c r="A22" t="s">
        <v>21</v>
      </c>
      <c r="B22">
        <f>B16-B17+B18-B19+B20+B21</f>
      </c>
      <c r="C22">
        <f>C16-C17+C18-C19+C20+C21</f>
      </c>
      <c r="D22">
        <f>D16-D17+D18-D19+D20+D21</f>
      </c>
      <c r="E22">
        <f>E16-E17+E18-E19+E20+E21</f>
      </c>
      <c r="F22">
        <f>F16-F17+F18-F19+F20+F21</f>
      </c>
      <c r="G22">
        <f>G16-G17+G18-G19+G20+G21</f>
      </c>
      <c r="H22">
        <f>H16-H17+H18-H19+H20+H21</f>
      </c>
      <c r="I22">
        <f>I16-I17+I18-I19+I20+I21</f>
      </c>
      <c r="J22">
        <f>J16-J17+J18-J19+J20+J21</f>
      </c>
      <c r="K22">
        <f>K16-K17+K18-K19+K20+K21</f>
      </c>
      <c r="L22">
        <f>L16-L17+L18-L19+L20+L21</f>
      </c>
      <c r="M22">
        <f>M16-M17+M18-M19+M20+M21</f>
      </c>
      <c r="N22">
        <f>N16-N17+N18-N19+N20+N21</f>
      </c>
      <c r="O22">
        <f>O16-O17+O18-O19+O20+O21</f>
      </c>
      <c r="P22">
        <f>P16-P17+P18-P19+P20+P21</f>
      </c>
      <c r="Q22">
        <f>Q16-Q17+Q18-Q19+Q20+Q21</f>
      </c>
      <c r="R22">
        <f>R16-R17+R18-R19+R20+R21</f>
      </c>
      <c r="S22">
        <f>S16-S17+S18-S19+S20+S21</f>
      </c>
      <c r="T22">
        <f>T16-T17+T18-T19+T20+T21</f>
      </c>
      <c r="U22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4" spans="1:3" x14ac:dyDescent="0.25">
      <c r="A24" t="s">
        <v>22</v>
      </c>
      <c r="B24">
        <v>0</v>
      </c>
      <c r="C24">
        <v>0</v>
      </c>
    </row>
    <row r="25" spans="1:3" x14ac:dyDescent="0.25">
      <c r="A25" t="s">
        <v>23</v>
      </c>
      <c r="B25">
        <v>0</v>
      </c>
      <c r="C25">
        <v>0</v>
      </c>
    </row>
    <row r="26" spans="1:3" x14ac:dyDescent="0.25">
      <c r="A26" t="s">
        <v>24</v>
      </c>
      <c r="B26">
        <v>8499</v>
      </c>
      <c r="C26">
        <v>42426</v>
      </c>
    </row>
    <row r="27" spans="1:26" x14ac:dyDescent="0.25">
      <c r="A27" t="s">
        <v>25</v>
      </c>
      <c r="B27">
        <f>B22+B24+B25+B26</f>
      </c>
      <c r="C27">
        <f>C22+C24+C25+C26</f>
      </c>
      <c r="D27">
        <f>D22+D24+D25+D26</f>
      </c>
      <c r="E27">
        <f>E22+E24+E25+E26</f>
      </c>
      <c r="F27">
        <f>F22+F24+F25+F26</f>
      </c>
      <c r="G27">
        <f>G22+G24+G25+G26</f>
      </c>
      <c r="H27">
        <f>H22+H24+H25+H26</f>
      </c>
      <c r="I27">
        <f>I22+I24+I25+I26</f>
      </c>
      <c r="J27">
        <f>J22+J24+J25+J26</f>
      </c>
      <c r="K27">
        <f>K22+K24+K25+K26</f>
      </c>
      <c r="L27">
        <f>L22+L24+L25+L26</f>
      </c>
      <c r="M27">
        <f>M22+M24+M25+M26</f>
      </c>
      <c r="N27">
        <f>N22+N24+N25+N26</f>
      </c>
      <c r="O27">
        <f>O22+O24+O25+O26</f>
      </c>
      <c r="P27">
        <f>P22+P24+P25+P26</f>
      </c>
      <c r="Q27">
        <f>Q22+Q24+Q25+Q26</f>
      </c>
      <c r="R27">
        <f>R22+R24+R25+R26</f>
      </c>
      <c r="S27">
        <f>S22+S24+S25+S26</f>
      </c>
      <c r="T27">
        <f>T22+T24+T25+T26</f>
      </c>
      <c r="U27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3" x14ac:dyDescent="0.25">
      <c r="A28" t="s">
        <v>26</v>
      </c>
      <c r="B28">
        <v>0</v>
      </c>
      <c r="C28">
        <v>0</v>
      </c>
    </row>
    <row r="29" spans="1:26" x14ac:dyDescent="0.25">
      <c r="A29" t="s">
        <v>27</v>
      </c>
      <c r="B29">
        <f>B27-B28</f>
      </c>
      <c r="C29">
        <f>C27-C28</f>
      </c>
      <c r="D29">
        <f>D27-D28</f>
      </c>
      <c r="E29">
        <f>E27-E28</f>
      </c>
      <c r="F29">
        <f>F27-F28</f>
      </c>
      <c r="G29">
        <f>G27-G28</f>
      </c>
      <c r="H29">
        <f>H27-H28</f>
      </c>
      <c r="I29">
        <f>I27-I28</f>
      </c>
      <c r="J29">
        <f>J27-J28</f>
      </c>
      <c r="K29">
        <f>K27-K28</f>
      </c>
      <c r="L29">
        <f>L27-L28</f>
      </c>
      <c r="M29">
        <f>M27-M28</f>
      </c>
      <c r="N29">
        <f>N27-N28</f>
      </c>
      <c r="O29">
        <f>O27-O28</f>
      </c>
      <c r="P29">
        <f>P27-P28</f>
      </c>
      <c r="Q29">
        <f>Q27-Q28</f>
      </c>
      <c r="R29">
        <f>R27-R28</f>
      </c>
      <c r="S29">
        <f>S27-S28</f>
      </c>
      <c r="T29">
        <f>T27-T28</f>
      </c>
      <c r="U29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1" spans="1:26" x14ac:dyDescent="0.25">
      <c r="A31" t="s">
        <v>28</v>
      </c>
      <c r="C31">
        <f>IF(AND(COUNT(B2,C2)=2, C2&lt;&gt;0, B2&lt;&gt;0), C2/B2-1, " ")</f>
      </c>
      <c r="D31">
        <f>IF(AND(COUNT(C2,D2)=2, D2&lt;&gt;0, C2&lt;&gt;0), D2/C2-1, " ")</f>
      </c>
      <c r="E31">
        <f>IF(AND(COUNT(D2,E2)=2, E2&lt;&gt;0, D2&lt;&gt;0), E2/D2-1, " ")</f>
      </c>
      <c r="F31">
        <f>IF(AND(COUNT(E2,F2)=2, F2&lt;&gt;0, E2&lt;&gt;0), F2/E2-1, " ")</f>
      </c>
      <c r="G31">
        <f>IF(AND(COUNT(F2,G2)=2, G2&lt;&gt;0, F2&lt;&gt;0), G2/F2-1, " ")</f>
      </c>
      <c r="H31">
        <f>IF(AND(COUNT(G2,H2)=2, H2&lt;&gt;0, G2&lt;&gt;0), H2/G2-1, " ")</f>
      </c>
      <c r="I31">
        <f>IF(AND(COUNT(H2,I2)=2, I2&lt;&gt;0, H2&lt;&gt;0), I2/H2-1, " ")</f>
      </c>
      <c r="J31">
        <f>IF(AND(COUNT(I2,J2)=2, J2&lt;&gt;0, I2&lt;&gt;0), J2/I2-1, " ")</f>
      </c>
      <c r="K31">
        <f>IF(AND(COUNT(J2,K2)=2, K2&lt;&gt;0, J2&lt;&gt;0), K2/J2-1, " ")</f>
      </c>
      <c r="L31">
        <f>IF(AND(COUNT(K2,L2)=2, L2&lt;&gt;0, K2&lt;&gt;0), L2/K2-1, " ")</f>
      </c>
      <c r="M31">
        <f>IF(AND(COUNT(L2,M2)=2, M2&lt;&gt;0, L2&lt;&gt;0), M2/L2-1, " ")</f>
      </c>
      <c r="N31">
        <f>IF(AND(COUNT(M2,N2)=2, N2&lt;&gt;0, M2&lt;&gt;0), N2/M2-1, " ")</f>
      </c>
      <c r="O31">
        <f>IF(AND(COUNT(N2,O2)=2, O2&lt;&gt;0, N2&lt;&gt;0), O2/N2-1, " ")</f>
      </c>
      <c r="P31">
        <f>IF(AND(COUNT(O2,P2)=2, P2&lt;&gt;0, O2&lt;&gt;0), P2/O2-1, " ")</f>
      </c>
      <c r="Q31">
        <f>IF(AND(COUNT(P2,Q2)=2, Q2&lt;&gt;0, P2&lt;&gt;0), Q2/P2-1, " ")</f>
      </c>
      <c r="R31">
        <f>IF(AND(COUNT(Q2,R2)=2, R2&lt;&gt;0, Q2&lt;&gt;0), R2/Q2-1, " ")</f>
      </c>
      <c r="S31">
        <f>IF(AND(COUNT(R2,S2)=2, S2&lt;&gt;0, R2&lt;&gt;0), S2/R2-1, " ")</f>
      </c>
      <c r="T31">
        <f>IF(AND(COUNT(S2,T2)=2, T2&lt;&gt;0, S2&lt;&gt;0), T2/S2-1, " ")</f>
      </c>
      <c r="U31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t="s">
        <v>29</v>
      </c>
      <c r="B32">
        <f>IF(AND(COUNT(B2,B4)=2, B2&lt;&gt;0), B4/B2, " ")</f>
      </c>
      <c r="C32">
        <f>IF(AND(COUNT(C2,C4)=2, C2&lt;&gt;0), C4/C2, " ")</f>
      </c>
      <c r="D32">
        <f>IF(AND(COUNT(D2,D4)=2, D2&lt;&gt;0), D4/D2, " ")</f>
      </c>
      <c r="E32">
        <f>IF(AND(COUNT(E2,E4)=2, E2&lt;&gt;0), E4/E2, " ")</f>
      </c>
      <c r="F32">
        <f>IF(AND(COUNT(F2,F4)=2, F2&lt;&gt;0), F4/F2, " ")</f>
      </c>
      <c r="G32">
        <f>IF(AND(COUNT(G2,G4)=2, G2&lt;&gt;0), G4/G2, " ")</f>
      </c>
      <c r="H32">
        <f>IF(AND(COUNT(H2,H4)=2, H2&lt;&gt;0), H4/H2, " ")</f>
      </c>
      <c r="I32">
        <f>IF(AND(COUNT(I2,I4)=2, I2&lt;&gt;0), I4/I2, " ")</f>
      </c>
      <c r="J32">
        <f>IF(AND(COUNT(J2,J4)=2, J2&lt;&gt;0), J4/J2, " ")</f>
      </c>
      <c r="K32">
        <f>IF(AND(COUNT(K2,K4)=2, K2&lt;&gt;0), K4/K2, " ")</f>
      </c>
      <c r="L32">
        <f>IF(AND(COUNT(L2,L4)=2, L2&lt;&gt;0), L4/L2, " ")</f>
      </c>
      <c r="M32">
        <f>IF(AND(COUNT(M2,M4)=2, M2&lt;&gt;0), M4/M2, " ")</f>
      </c>
      <c r="N32">
        <f>IF(AND(COUNT(N2,N4)=2, N2&lt;&gt;0), N4/N2, " ")</f>
      </c>
      <c r="O32">
        <f>IF(AND(COUNT(O2,O4)=2, O2&lt;&gt;0), O4/O2, " ")</f>
      </c>
      <c r="P32">
        <f>IF(AND(COUNT(P2,P4)=2, P2&lt;&gt;0), P4/P2, " ")</f>
      </c>
      <c r="Q32">
        <f>IF(AND(COUNT(Q2,Q4)=2, Q2&lt;&gt;0), Q4/Q2, " ")</f>
      </c>
      <c r="R32">
        <f>IF(AND(COUNT(R2,R4)=2, R2&lt;&gt;0), R4/R2, " ")</f>
      </c>
      <c r="S32">
        <f>IF(AND(COUNT(S2,S4)=2, S2&lt;&gt;0), S4/S2, " ")</f>
      </c>
      <c r="T32">
        <f>IF(AND(COUNT(T2,T4)=2, T2&lt;&gt;0), T4/T2, " ")</f>
      </c>
      <c r="U32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t="s">
        <v>30</v>
      </c>
      <c r="B33">
        <f>IF(AND(COUNT(B2,B9)=2, B2&lt;&gt;0), B9/B2, " ")</f>
      </c>
      <c r="C33">
        <f>IF(AND(COUNT(C2,C9)=2, C2&lt;&gt;0), C9/C2, " ")</f>
      </c>
      <c r="D33">
        <f>IF(AND(COUNT(D2,D9)=2, D2&lt;&gt;0), D9/D2, " ")</f>
      </c>
      <c r="E33">
        <f>IF(AND(COUNT(E2,E9)=2, E2&lt;&gt;0), E9/E2, " ")</f>
      </c>
      <c r="F33">
        <f>IF(AND(COUNT(F2,F9)=2, F2&lt;&gt;0), F9/F2, " ")</f>
      </c>
      <c r="G33">
        <f>IF(AND(COUNT(G2,G9)=2, G2&lt;&gt;0), G9/G2, " ")</f>
      </c>
      <c r="H33">
        <f>IF(AND(COUNT(H2,H9)=2, H2&lt;&gt;0), H9/H2, " ")</f>
      </c>
      <c r="I33">
        <f>IF(AND(COUNT(I2,I9)=2, I2&lt;&gt;0), I9/I2, " ")</f>
      </c>
      <c r="J33">
        <f>IF(AND(COUNT(J2,J9)=2, J2&lt;&gt;0), J9/J2, " ")</f>
      </c>
      <c r="K33">
        <f>IF(AND(COUNT(K2,K9)=2, K2&lt;&gt;0), K9/K2, " ")</f>
      </c>
      <c r="L33">
        <f>IF(AND(COUNT(L2,L9)=2, L2&lt;&gt;0), L9/L2, " ")</f>
      </c>
      <c r="M33">
        <f>IF(AND(COUNT(M2,M9)=2, M2&lt;&gt;0), M9/M2, " ")</f>
      </c>
      <c r="N33">
        <f>IF(AND(COUNT(N2,N9)=2, N2&lt;&gt;0), N9/N2, " ")</f>
      </c>
      <c r="O33">
        <f>IF(AND(COUNT(O2,O9)=2, O2&lt;&gt;0), O9/O2, " ")</f>
      </c>
      <c r="P33">
        <f>IF(AND(COUNT(P2,P9)=2, P2&lt;&gt;0), P9/P2, " ")</f>
      </c>
      <c r="Q33">
        <f>IF(AND(COUNT(Q2,Q9)=2, Q2&lt;&gt;0), Q9/Q2, " ")</f>
      </c>
      <c r="R33">
        <f>IF(AND(COUNT(R2,R9)=2, R2&lt;&gt;0), R9/R2, " ")</f>
      </c>
      <c r="S33">
        <f>IF(AND(COUNT(S2,S9)=2, S2&lt;&gt;0), S9/S2, " ")</f>
      </c>
      <c r="T33">
        <f>IF(AND(COUNT(T2,T9)=2, T2&lt;&gt;0), T9/T2, " ")</f>
      </c>
      <c r="U33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t="s">
        <v>31</v>
      </c>
      <c r="B34">
        <f>IF(AND(COUNT(B15,B15)=2, B15&lt;&gt;0), B16/B15, " ")</f>
      </c>
      <c r="C34">
        <f>IF(AND(COUNT(C15,C15)=2, C15&lt;&gt;0), C16/C15, " ")</f>
      </c>
      <c r="D34">
        <f>IF(AND(COUNT(D15,D15)=2, D15&lt;&gt;0), D16/D15, " ")</f>
      </c>
      <c r="E34">
        <f>IF(AND(COUNT(E15,E15)=2, E15&lt;&gt;0), E16/E15, " ")</f>
      </c>
      <c r="F34">
        <f>IF(AND(COUNT(F15,F15)=2, F15&lt;&gt;0), F16/F15, " ")</f>
      </c>
      <c r="G34">
        <f>IF(AND(COUNT(G15,G15)=2, G15&lt;&gt;0), G16/G15, " ")</f>
      </c>
      <c r="H34">
        <f>IF(AND(COUNT(H15,H15)=2, H15&lt;&gt;0), H16/H15, " ")</f>
      </c>
      <c r="I34">
        <f>IF(AND(COUNT(I15,I15)=2, I15&lt;&gt;0), I16/I15, " ")</f>
      </c>
      <c r="J34">
        <f>IF(AND(COUNT(J15,J15)=2, J15&lt;&gt;0), J16/J15, " ")</f>
      </c>
      <c r="K34">
        <f>IF(AND(COUNT(K15,K15)=2, K15&lt;&gt;0), K16/K15, " ")</f>
      </c>
      <c r="L34">
        <f>IF(AND(COUNT(L15,L15)=2, L15&lt;&gt;0), L16/L15, " ")</f>
      </c>
      <c r="M34">
        <f>IF(AND(COUNT(M15,M15)=2, M15&lt;&gt;0), M16/M15, " ")</f>
      </c>
      <c r="N34">
        <f>IF(AND(COUNT(N15,N15)=2, N15&lt;&gt;0), N16/N15, " ")</f>
      </c>
      <c r="O34">
        <f>IF(AND(COUNT(O15,O15)=2, O15&lt;&gt;0), O16/O15, " ")</f>
      </c>
      <c r="P34">
        <f>IF(AND(COUNT(P15,P15)=2, P15&lt;&gt;0), P16/P15, " ")</f>
      </c>
      <c r="Q34">
        <f>IF(AND(COUNT(Q15,Q15)=2, Q15&lt;&gt;0), Q16/Q15, " ")</f>
      </c>
      <c r="R34">
        <f>IF(AND(COUNT(R15,R15)=2, R15&lt;&gt;0), R16/R15, " ")</f>
      </c>
      <c r="S34">
        <f>IF(AND(COUNT(S15,S15)=2, S15&lt;&gt;0), S16/S15, " ")</f>
      </c>
      <c r="T34">
        <f>IF(AND(COUNT(T15,T15)=2, T15&lt;&gt;0), T16/T15, " ")</f>
      </c>
      <c r="U3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t="s">
        <v>32</v>
      </c>
      <c r="B35">
        <f>IF(AND(COUNT(B22,B2)=2, B2&lt;&gt;0), B22/B2, " ")</f>
      </c>
      <c r="C35">
        <f>IF(AND(COUNT(C22,C2)=2, C2&lt;&gt;0), C22/C2, " ")</f>
      </c>
      <c r="D35">
        <f>IF(AND(COUNT(D22,D2)=2, D2&lt;&gt;0), D22/D2, " ")</f>
      </c>
      <c r="E35">
        <f>IF(AND(COUNT(E22,E2)=2, E2&lt;&gt;0), E22/E2, " ")</f>
      </c>
      <c r="F35">
        <f>IF(AND(COUNT(F22,F2)=2, F2&lt;&gt;0), F22/F2, " ")</f>
      </c>
      <c r="G35">
        <f>IF(AND(COUNT(G22,G2)=2, G2&lt;&gt;0), G22/G2, " ")</f>
      </c>
      <c r="H35">
        <f>IF(AND(COUNT(H22,H2)=2, H2&lt;&gt;0), H22/H2, " ")</f>
      </c>
      <c r="I35">
        <f>IF(AND(COUNT(I22,I2)=2, I2&lt;&gt;0), I22/I2, " ")</f>
      </c>
      <c r="J35">
        <f>IF(AND(COUNT(J22,J2)=2, J2&lt;&gt;0), J22/J2, " ")</f>
      </c>
      <c r="K35">
        <f>IF(AND(COUNT(K22,K2)=2, K2&lt;&gt;0), K22/K2, " ")</f>
      </c>
      <c r="L35">
        <f>IF(AND(COUNT(L22,L2)=2, L2&lt;&gt;0), L22/L2, " ")</f>
      </c>
      <c r="M35">
        <f>IF(AND(COUNT(M22,M2)=2, M2&lt;&gt;0), M22/M2, " ")</f>
      </c>
      <c r="N35">
        <f>IF(AND(COUNT(N22,N2)=2, N2&lt;&gt;0), N22/N2, " ")</f>
      </c>
      <c r="O35">
        <f>IF(AND(COUNT(O22,O2)=2, O2&lt;&gt;0), O22/O2, " ")</f>
      </c>
      <c r="P35">
        <f>IF(AND(COUNT(P22,P2)=2, P2&lt;&gt;0), P22/P2, " ")</f>
      </c>
      <c r="Q35">
        <f>IF(AND(COUNT(Q22,Q2)=2, Q2&lt;&gt;0), Q22/Q2, " ")</f>
      </c>
      <c r="R35">
        <f>IF(AND(COUNT(R22,R2)=2, R2&lt;&gt;0), R22/R2, " ")</f>
      </c>
      <c r="S35">
        <f>IF(AND(COUNT(S22,S2)=2, S2&lt;&gt;0), S22/S2, " ")</f>
      </c>
      <c r="T35">
        <f>IF(AND(COUNT(T22,T2)=2, T2&lt;&gt;0), T22/T2, " ")</f>
      </c>
      <c r="U35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t="s">
        <v>33</v>
      </c>
      <c r="C36">
        <f>IF(AND(COUNT(B29,C29)=2, C29&lt;&gt;0, B2&lt;&gt;0), C27/B29-1, " ")</f>
      </c>
      <c r="D36">
        <f>IF(AND(COUNT(C29,D29)=2, D29&lt;&gt;0, C2&lt;&gt;0), D27/C29-1, " ")</f>
      </c>
      <c r="E36">
        <f>IF(AND(COUNT(D29,E29)=2, E29&lt;&gt;0, D2&lt;&gt;0), E27/D29-1, " ")</f>
      </c>
      <c r="F36">
        <f>IF(AND(COUNT(E29,F29)=2, F29&lt;&gt;0, E2&lt;&gt;0), F27/E29-1, " ")</f>
      </c>
      <c r="G36">
        <f>IF(AND(COUNT(F29,G29)=2, G29&lt;&gt;0, F2&lt;&gt;0), G27/F29-1, " ")</f>
      </c>
      <c r="H36">
        <f>IF(AND(COUNT(G29,H29)=2, H29&lt;&gt;0, G2&lt;&gt;0), H27/G29-1, " ")</f>
      </c>
      <c r="I36">
        <f>IF(AND(COUNT(H29,I29)=2, I29&lt;&gt;0, H2&lt;&gt;0), I27/H29-1, " ")</f>
      </c>
      <c r="J36">
        <f>IF(AND(COUNT(I29,J29)=2, J29&lt;&gt;0, I2&lt;&gt;0), J27/I29-1, " ")</f>
      </c>
      <c r="K36">
        <f>IF(AND(COUNT(J29,K29)=2, K29&lt;&gt;0, J2&lt;&gt;0), K27/J29-1, " ")</f>
      </c>
      <c r="L36">
        <f>IF(AND(COUNT(K29,L29)=2, L29&lt;&gt;0, K2&lt;&gt;0), L27/K29-1, " ")</f>
      </c>
      <c r="M36">
        <f>IF(AND(COUNT(L29,M29)=2, M29&lt;&gt;0, L2&lt;&gt;0), M27/L29-1, " ")</f>
      </c>
      <c r="N36">
        <f>IF(AND(COUNT(M29,N29)=2, N29&lt;&gt;0, M2&lt;&gt;0), N27/M29-1, " ")</f>
      </c>
      <c r="O36">
        <f>IF(AND(COUNT(N29,O29)=2, O29&lt;&gt;0, N2&lt;&gt;0), O27/N29-1, " ")</f>
      </c>
      <c r="P36">
        <f>IF(AND(COUNT(O29,P29)=2, P29&lt;&gt;0, O2&lt;&gt;0), P27/O29-1, " ")</f>
      </c>
      <c r="Q36">
        <f>IF(AND(COUNT(P29,Q29)=2, Q29&lt;&gt;0, P2&lt;&gt;0), Q27/P29-1, " ")</f>
      </c>
      <c r="R36">
        <f>IF(AND(COUNT(Q29,R29)=2, R29&lt;&gt;0, Q2&lt;&gt;0), R27/Q29-1, " ")</f>
      </c>
      <c r="S36">
        <f>IF(AND(COUNT(R29,S29)=2, S29&lt;&gt;0, R2&lt;&gt;0), S27/R29-1, " ")</f>
      </c>
      <c r="T36">
        <f>IF(AND(COUNT(S29,T29)=2, T29&lt;&gt;0, S2&lt;&gt;0), T27/S29-1, " ")</f>
      </c>
      <c r="U36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8" spans="1:3" x14ac:dyDescent="0.25">
      <c r="A38" t="s">
        <v>34</v>
      </c>
      <c r="B38">
        <v>0</v>
      </c>
      <c r="C38">
        <v>0</v>
      </c>
    </row>
    <row r="39" spans="1:3" x14ac:dyDescent="0.25">
      <c r="A39" t="s">
        <v>35</v>
      </c>
      <c r="B39">
        <v>58731</v>
      </c>
      <c r="C39">
        <v>373021</v>
      </c>
    </row>
    <row r="40" spans="1:3" x14ac:dyDescent="0.25">
      <c r="A40" t="s">
        <v>36</v>
      </c>
      <c r="B40">
        <v>15594</v>
      </c>
      <c r="C40">
        <v>219238</v>
      </c>
    </row>
    <row r="41" spans="1:3" x14ac:dyDescent="0.25">
      <c r="A41" t="s">
        <v>37</v>
      </c>
      <c r="B41">
        <f>B39-B40</f>
      </c>
      <c r="C41">
        <f>C39-C40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41</v>
      </c>
      <c r="B6" s="4"/>
      <c r="C6" t="s">
        <v>42</v>
      </c>
    </row>
    <row r="7" spans="1:3" x14ac:dyDescent="0.25">
      <c r="A7" s="3" t="s">
        <v>43</v>
      </c>
      <c r="B7" s="4"/>
      <c r="C7" t="s">
        <v>44</v>
      </c>
    </row>
    <row r="8" spans="1:4" x14ac:dyDescent="0.25">
      <c r="A8" s="3" t="s">
        <v>45</v>
      </c>
      <c r="C8" t="s">
        <v>46</v>
      </c>
      <c r="D8" t="s">
        <v>47</v>
      </c>
    </row>
    <row r="9" spans="1:4" x14ac:dyDescent="0.25">
      <c r="A9" s="3" t="s">
        <v>48</v>
      </c>
      <c r="B9" s="4"/>
      <c r="C9" t="s">
        <v>49</v>
      </c>
      <c r="D9" t="s">
        <v>50</v>
      </c>
    </row>
    <row r="10" spans="1:4" x14ac:dyDescent="0.25">
      <c r="A10" s="3" t="s">
        <v>51</v>
      </c>
      <c r="B10" s="4"/>
      <c r="C10" t="s">
        <v>52</v>
      </c>
      <c r="D10" t="s">
        <v>53</v>
      </c>
    </row>
    <row r="11" spans="1:2" x14ac:dyDescent="0.25">
      <c r="A11" s="3" t="s">
        <v>54</v>
      </c>
      <c r="B11" s="4">
        <f>B10+B9*B8</f>
      </c>
    </row>
    <row r="12" spans="1:3" x14ac:dyDescent="0.25">
      <c r="A12" s="3" t="s">
        <v>55</v>
      </c>
      <c r="B12" s="4"/>
      <c r="C12" t="s">
        <v>56</v>
      </c>
    </row>
    <row r="13" spans="1:4" x14ac:dyDescent="0.25">
      <c r="A13" s="3" t="s">
        <v>57</v>
      </c>
      <c r="B13" s="5"/>
      <c r="C13" t="s">
        <v>58</v>
      </c>
      <c r="D13" t="s">
        <v>47</v>
      </c>
    </row>
    <row r="14" spans="1:3" x14ac:dyDescent="0.25">
      <c r="A14" s="3" t="s">
        <v>59</v>
      </c>
      <c r="B14" s="5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5"/>
      <c r="C20" t="s">
        <v>67</v>
      </c>
    </row>
    <row r="21" spans="1:4" x14ac:dyDescent="0.25">
      <c r="A21" s="3" t="s">
        <v>68</v>
      </c>
      <c r="B21" s="5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2023-12-24T00:48:36Z</cp:lastPrinted>
  <dcterms:created xsi:type="dcterms:W3CDTF">2023-12-24T00:48:36Z</dcterms:created>
  <dcterms:modified xsi:type="dcterms:W3CDTF">2023-12-24T00:48:36Z</dcterms:modified>
</cp:coreProperties>
</file>