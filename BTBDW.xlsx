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<sst xmlns="http://schemas.openxmlformats.org/spreadsheetml/2006/main" count="72" uniqueCount="68">
  <si>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</si>
  <si>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</si>
  <si>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</si>
  <si>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</si>
  <si>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</si>
  <si>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</si>
  <si>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</si>
  <si>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</si>
  <si>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</si>
  <si>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</si>
  <si>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</si>
  <si>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</si>
  <si>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</si>
  <si>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</si>
  <si>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</si>
  <si>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</si>
  <si>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</si>
  <si>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</si>
  <si>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</si>
  <si>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</si>
  <si>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</si>
  <si>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</si>
  <si>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</si>
  <si>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</si>
  <si>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</si>
  <si>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</si>
  <si>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</si>
  <si>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</si>
  <si>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</si>
  <si>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</si>
  <si>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</si>
  <si>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</si>
  <si>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</si>
  <si>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</si>
  <si>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</si>
  <si>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</si>
  <si>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</si>
  <si>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</si>
  <si>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</si>
  <si>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</si>
  <si>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</si>
  <si>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</si>
  <si>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</si>
  <si>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</si>
  <si>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</si>
  <si>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https://finance.yahoo.com/quote/BTBDW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</si>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</sst>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TBD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TBDW" TargetMode="External"/><Relationship Id="rId5" Type="http://schemas.openxmlformats.org/officeDocument/2006/relationships/hyperlink" Target="https://finance.yahoo.com/quote/BTB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7051378</v>
      </c>
      <c r="C2" s="3">
        <v>-8410</v>
      </c>
      <c r="D2" s="3">
        <v>-541758</v>
      </c>
      <c r="E2" s="3">
        <v>0</v>
      </c>
      <c r="F2" s="3">
        <v>12795982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6311574</v>
      </c>
      <c r="C3" s="3">
        <v>6073440</v>
      </c>
      <c r="D3" s="3">
        <v>6744515</v>
      </c>
      <c r="E3" s="3">
        <v>6783340</v>
      </c>
      <c r="F3" s="3">
        <v>10909466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492378</v>
      </c>
      <c r="C6" s="3">
        <v>560885</v>
      </c>
      <c r="D6" s="3">
        <v>687524</v>
      </c>
      <c r="E6" s="3">
        <v>416791</v>
      </c>
      <c r="F6" s="3">
        <v>1633829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387971</v>
      </c>
      <c r="C7" s="3">
        <v>-6264785</v>
      </c>
      <c r="D7" s="3">
        <v>-8503165</v>
      </c>
      <c r="E7" s="3">
        <v>-8180843</v>
      </c>
      <c r="F7" s="3">
        <v>604744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89</v>
      </c>
      <c r="C10" s="3">
        <v>8804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103623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-176955</v>
      </c>
      <c r="C11" s="3">
        <v>207841</v>
      </c>
      <c r="D11" s="3">
        <v>177757</v>
      </c>
      <c r="E11" s="3">
        <v>172861</v>
      </c>
      <c r="F11" s="3">
        <v>114766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-29421</v>
      </c>
      <c r="C12" s="3">
        <v>8410</v>
      </c>
      <c r="D12" s="3">
        <v>466758</v>
      </c>
      <c r="E12" s="3">
        <v>0</v>
      </c>
      <c r="F12" s="3">
        <v>-80649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-13725</v>
      </c>
      <c r="C16" s="3">
        <v>-102000</v>
      </c>
      <c r="D16" s="3">
        <v>130000</v>
      </c>
      <c r="E16" s="3">
        <v>200000</v>
      </c>
      <c r="F16" s="3">
        <v>-180000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-194813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1700</v>
      </c>
      <c r="C22" s="3">
        <v>212787</v>
      </c>
      <c r="D22" s="3">
        <v>189389</v>
      </c>
      <c r="E22" s="3">
        <v>234027</v>
      </c>
      <c r="F22" s="3">
        <v>449038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-34000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26613</v>
      </c>
      <c r="C24" s="3">
        <v>304279</v>
      </c>
      <c r="D24" s="3">
        <v>416138</v>
      </c>
      <c r="E24" s="3">
        <v>-27923</v>
      </c>
      <c r="F24" s="3">
        <v>359045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-66652</v>
      </c>
      <c r="C26" s="3">
        <v>0</v>
      </c>
      <c r="D26" s="3">
        <v>154420</v>
      </c>
      <c r="E26" s="3">
        <v>207920</v>
      </c>
      <c r="F26" s="3">
        <v>478396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2052539</v>
      </c>
      <c r="C36" s="3">
        <v>1650012</v>
      </c>
      <c r="D36" s="3">
        <v>1632457</v>
      </c>
      <c r="E36" s="3">
        <v>1592338</v>
      </c>
      <c r="F36" s="3">
        <v>3294644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3264837</v>
      </c>
      <c r="C37" s="3">
        <v>2633539</v>
      </c>
      <c r="D37" s="3">
        <v>3389165</v>
      </c>
      <c r="E37" s="3">
        <v>14505727</v>
      </c>
      <c r="F37" s="3">
        <v>16769697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4306075</v>
      </c>
      <c r="C38" s="3">
        <v>4029854</v>
      </c>
      <c r="D38" s="3">
        <v>4091488</v>
      </c>
      <c r="E38" s="3">
        <v>3877374</v>
      </c>
      <c r="F38" s="3">
        <v>6617075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E37-E38</f>
      </c>
      <c r="E39" s="3">
        <f>F37-F38</f>
      </c>
      <c r="F39" s="3">
        <f>G37-G38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1, 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