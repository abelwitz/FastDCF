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<sst xmlns="http://schemas.openxmlformats.org/spreadsheetml/2006/main" count="72" uniqueCount="68">
  <si>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</si>
  <si>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</si>
  <si>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</si>
  <si>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</si>
  <si>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</si>
  <si>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</si>
  <si>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</si>
  <si>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</si>
  <si>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</si>
  <si>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</si>
  <si>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</si>
  <si>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</si>
  <si>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</si>
  <si>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</si>
  <si>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</si>
  <si>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</si>
  <si>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</si>
  <si>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</si>
  <si>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</si>
  <si>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</si>
  <si>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</si>
  <si>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</si>
  <si>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</si>
  <si>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</si>
  <si>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</si>
  <si>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</si>
  <si>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</si>
  <si>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</si>
  <si>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</si>
  <si>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</si>
  <si>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</si>
  <si>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</si>
  <si>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</si>
  <si>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</si>
  <si>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</si>
  <si>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</si>
  <si>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</si>
  <si>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</si>
  <si>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</si>
  <si>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</si>
  <si>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</si>
  <si>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</si>
  <si>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</si>
  <si>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</si>
  <si>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</si>
  <si>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https://finance.yahoo.com/quote/SPUP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</si>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</sst>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SPUP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SPUP" TargetMode="External"/><Relationship Id="rId5" Type="http://schemas.openxmlformats.org/officeDocument/2006/relationships/hyperlink" Target="https://finance.yahoo.com/quote/SPU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3" x14ac:dyDescent="0.25">
      <c r="A1" s="1" t="s">
        <v>0</v>
      </c>
      <c r="B1" s="2">
        <v>2012</v>
      </c>
      <c r="C1" s="2">
        <v>2013</v>
      </c>
      <c r="D1" s="2">
        <v>2014</v>
      </c>
      <c r="E1" s="2">
        <v>2015</v>
      </c>
      <c r="F1" s="2">
        <v>2016</v>
      </c>
      <c r="G1" s="2">
        <v>2017</v>
      </c>
      <c r="H1" s="2">
        <v>2018</v>
      </c>
      <c r="I1" s="2">
        <v>2019</v>
      </c>
      <c r="J1" s="2">
        <v>2020</v>
      </c>
      <c r="K1" s="2">
        <v>2021</v>
      </c>
      <c r="L1" s="2">
        <v>2022</v>
      </c>
      <c r="M1" s="2">
        <v>2023</v>
      </c>
      <c r="N1" s="2">
        <v>2024</v>
      </c>
      <c r="O1" s="2">
        <v>2025</v>
      </c>
      <c r="P1" s="2">
        <v>2026</v>
      </c>
      <c r="Q1" s="2">
        <v>2027</v>
      </c>
      <c r="R1" s="2">
        <v>2028</v>
      </c>
      <c r="S1" s="2">
        <v>2029</v>
      </c>
      <c r="T1" s="2">
        <v>2030</v>
      </c>
      <c r="U1" s="2">
        <v>2031</v>
      </c>
      <c r="V1" s="2">
        <v>2032</v>
      </c>
      <c r="W1" s="2">
        <v>2033</v>
      </c>
    </row>
    <row r="2" spans="1:23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0</v>
      </c>
      <c r="H2" s="3">
        <v>0</v>
      </c>
      <c r="I2" s="3">
        <v>6987648</v>
      </c>
      <c r="J2" s="3">
        <v>144541</v>
      </c>
      <c r="K2" s="3">
        <v>0</v>
      </c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</row>
    <row r="3" spans="1:23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12200</v>
      </c>
      <c r="G3" s="3">
        <v>12560</v>
      </c>
      <c r="H3" s="3">
        <v>193942</v>
      </c>
      <c r="I3" s="3">
        <v>0</v>
      </c>
      <c r="J3" s="3">
        <v>0</v>
      </c>
      <c r="K3" s="3">
        <v>0</v>
      </c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>
        <f>X2-X3</f>
      </c>
      <c r="Y4">
        <f>Y2-Y3</f>
      </c>
      <c r="Z4">
        <f>Z2-Z3</f>
      </c>
    </row>
    <row r="5" spans="1:23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217203</v>
      </c>
      <c r="J5" s="3">
        <v>65793</v>
      </c>
      <c r="K5" s="3">
        <v>0</v>
      </c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</row>
    <row r="6" spans="1:23" x14ac:dyDescent="0.25">
      <c r="A6" s="2" t="s">
        <v>5</v>
      </c>
      <c r="B6" s="3">
        <v>854</v>
      </c>
      <c r="C6" s="3">
        <v>699</v>
      </c>
      <c r="D6" s="3">
        <v>0</v>
      </c>
      <c r="E6" s="3">
        <v>0</v>
      </c>
      <c r="F6" s="3">
        <v>12000</v>
      </c>
      <c r="G6" s="3">
        <v>0</v>
      </c>
      <c r="H6" s="3">
        <v>0</v>
      </c>
      <c r="I6" s="3">
        <v>5525160</v>
      </c>
      <c r="J6" s="3">
        <v>23142</v>
      </c>
      <c r="K6" s="3">
        <v>148333</v>
      </c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</row>
    <row r="7" spans="1:23" x14ac:dyDescent="0.25">
      <c r="A7" s="2" t="s">
        <v>6</v>
      </c>
      <c r="B7" s="3">
        <v>5010</v>
      </c>
      <c r="C7" s="3">
        <v>63240</v>
      </c>
      <c r="D7" s="3">
        <v>25907</v>
      </c>
      <c r="E7" s="3">
        <v>16131</v>
      </c>
      <c r="F7" s="3">
        <v>0</v>
      </c>
      <c r="G7" s="3">
        <v>0</v>
      </c>
      <c r="H7" s="3">
        <v>-187010</v>
      </c>
      <c r="I7" s="3">
        <v>-5693563</v>
      </c>
      <c r="J7" s="3">
        <v>-27687</v>
      </c>
      <c r="K7" s="3">
        <v>0</v>
      </c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3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</row>
    <row r="12" spans="1:23" x14ac:dyDescent="0.25">
      <c r="A12" s="2" t="s">
        <v>11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-7798078</v>
      </c>
      <c r="J12" s="3">
        <v>-775723</v>
      </c>
      <c r="K12" s="3">
        <v>-1795917</v>
      </c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>
        <f>X10-X11+X12</f>
      </c>
      <c r="Y13">
        <f>Y10-Y11+Y12</f>
      </c>
      <c r="Z13">
        <f>Z10-Z11+Z12</f>
      </c>
    </row>
    <row r="14" spans="1:23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>
        <f>X9+X13-X14</f>
      </c>
      <c r="Y15">
        <f>Y9+Y13-Y14</f>
      </c>
      <c r="Z15">
        <f>Z9+Z13-Z14</f>
      </c>
    </row>
    <row r="16" spans="1:23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</row>
    <row r="17" spans="1:23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</row>
    <row r="18" spans="1:23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</row>
    <row r="19" spans="1:23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>
        <f>X15-X16+X17-X18+X19</f>
      </c>
      <c r="Y20">
        <f>Y15-Y16+Y17-Y18+Y19</f>
      </c>
      <c r="Z20">
        <f>Z15-Z16+Z17-Z18+Z19</f>
      </c>
    </row>
    <row r="21" spans="1:23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</row>
    <row r="22" spans="1:23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1846</v>
      </c>
      <c r="J22" s="3">
        <v>2070</v>
      </c>
      <c r="K22" s="3">
        <v>0</v>
      </c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</row>
    <row r="23" spans="1:23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-150000</v>
      </c>
      <c r="H23" s="3">
        <v>150000</v>
      </c>
      <c r="I23" s="3">
        <v>43200</v>
      </c>
      <c r="J23" s="3">
        <v>86400</v>
      </c>
      <c r="K23" s="3">
        <v>7200</v>
      </c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</row>
    <row r="24" spans="1:23" x14ac:dyDescent="0.25">
      <c r="A24" s="2" t="s">
        <v>22</v>
      </c>
      <c r="B24" s="3">
        <v>5864</v>
      </c>
      <c r="C24" s="3">
        <v>2445</v>
      </c>
      <c r="D24" s="3">
        <v>23107</v>
      </c>
      <c r="E24" s="3">
        <v>13631</v>
      </c>
      <c r="F24" s="3">
        <v>19700</v>
      </c>
      <c r="G24" s="3">
        <v>160095</v>
      </c>
      <c r="H24" s="3">
        <v>-143068</v>
      </c>
      <c r="I24" s="3">
        <v>394556</v>
      </c>
      <c r="J24" s="3">
        <v>487244</v>
      </c>
      <c r="K24" s="3">
        <v>47620</v>
      </c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>
        <f>X20+X22+X23+X24</f>
      </c>
      <c r="Y25">
        <f>Y20+Y22+Y23+Y24</f>
      </c>
      <c r="Z25">
        <f>Z20+Z22+Z23+Z24</f>
      </c>
    </row>
    <row r="26" spans="1:23" x14ac:dyDescent="0.25">
      <c r="A26" s="2" t="s">
        <v>24</v>
      </c>
      <c r="B26" s="3">
        <v>0</v>
      </c>
      <c r="C26" s="3">
        <v>0</v>
      </c>
      <c r="D26" s="3">
        <v>0</v>
      </c>
      <c r="E26" s="3">
        <v>0</v>
      </c>
      <c r="F26" s="3">
        <v>0</v>
      </c>
      <c r="G26" s="3">
        <v>0</v>
      </c>
      <c r="H26" s="3">
        <v>0</v>
      </c>
      <c r="I26" s="3">
        <v>0</v>
      </c>
      <c r="J26" s="3">
        <v>0</v>
      </c>
      <c r="K26" s="3">
        <v>0</v>
      </c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>
        <f>X25-X26</f>
      </c>
      <c r="Y27">
        <f>Y25-Y26</f>
      </c>
      <c r="Z27">
        <f>Z25-Z26</f>
      </c>
    </row>
    <row r="28" spans="1:23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3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</row>
    <row r="36" spans="1:23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</row>
    <row r="37" spans="1:23" x14ac:dyDescent="0.25">
      <c r="A37" s="2" t="s">
        <v>33</v>
      </c>
      <c r="B37" s="3">
        <v>2993</v>
      </c>
      <c r="C37" s="3">
        <v>0</v>
      </c>
      <c r="D37" s="3">
        <v>0</v>
      </c>
      <c r="E37" s="3">
        <v>0</v>
      </c>
      <c r="F37" s="3">
        <v>0</v>
      </c>
      <c r="G37" s="3">
        <v>150000</v>
      </c>
      <c r="H37" s="3">
        <v>0</v>
      </c>
      <c r="I37" s="3">
        <v>93600</v>
      </c>
      <c r="J37" s="3">
        <v>7200</v>
      </c>
      <c r="K37" s="3">
        <v>0</v>
      </c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</row>
    <row r="38" spans="1:23" x14ac:dyDescent="0.25">
      <c r="A38" s="2" t="s">
        <v>34</v>
      </c>
      <c r="B38" s="3">
        <v>5857</v>
      </c>
      <c r="C38" s="3">
        <v>4735</v>
      </c>
      <c r="D38" s="3">
        <v>30642</v>
      </c>
      <c r="E38" s="3">
        <v>46773</v>
      </c>
      <c r="F38" s="3">
        <v>70973</v>
      </c>
      <c r="G38" s="3">
        <v>284473</v>
      </c>
      <c r="H38" s="3">
        <v>141405</v>
      </c>
      <c r="I38" s="3">
        <v>274867</v>
      </c>
      <c r="J38" s="3">
        <v>261082</v>
      </c>
      <c r="K38" s="3">
        <v>335222</v>
      </c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</row>
    <row r="39" spans="1:23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2023-12-22T01:46:31Z</cp:lastPrinted>
  <dcterms:created xsi:type="dcterms:W3CDTF">2023-12-22T01:46:31Z</dcterms:created>
  <dcterms:modified xsi:type="dcterms:W3CDTF">2023-12-22T01:46:31Z</dcterms:modified>
</cp:coreProperties>
</file>