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<sst xmlns="http://schemas.openxmlformats.org/spreadsheetml/2006/main" count="72" uniqueCount="69">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</sst>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24080484</v>
      </c>
      <c r="C2" s="3">
        <v>21271724</v>
      </c>
      <c r="D2" s="3">
        <v>6404585</v>
      </c>
      <c r="E2" s="3">
        <v>6037475</v>
      </c>
      <c r="F2" s="3">
        <v>7397474</v>
      </c>
      <c r="G2" s="3">
        <v>25794543</v>
      </c>
      <c r="H2" s="3">
        <v>26591522</v>
      </c>
      <c r="I2" s="3">
        <v>25408961</v>
      </c>
      <c r="J2" s="3">
        <v>8448471</v>
      </c>
      <c r="K2" s="3">
        <v>9973140</v>
      </c>
      <c r="L2" s="3">
        <v>35543438</v>
      </c>
      <c r="M2" s="3">
        <v>35367005</v>
      </c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22898489</v>
      </c>
      <c r="C3" s="3">
        <v>20947522</v>
      </c>
      <c r="D3" s="3">
        <v>6066807</v>
      </c>
      <c r="E3" s="3">
        <v>5731396</v>
      </c>
      <c r="F3" s="3">
        <v>7071398</v>
      </c>
      <c r="G3" s="3">
        <v>25459558</v>
      </c>
      <c r="H3" s="3">
        <v>26276678</v>
      </c>
      <c r="I3" s="3">
        <v>25093122</v>
      </c>
      <c r="J3" s="3">
        <v>7922390</v>
      </c>
      <c r="K3" s="3">
        <v>9416536</v>
      </c>
      <c r="L3" s="3">
        <v>34983051</v>
      </c>
      <c r="M3" s="3">
        <v>34700774</v>
      </c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>
        <v>0</v>
      </c>
      <c r="H5" s="3">
        <v>0</v>
      </c>
      <c r="I5" s="3">
        <v>0</v>
      </c>
      <c r="J5" s="3">
        <v>0</v>
      </c>
      <c r="K5" s="3">
        <v>0</v>
      </c>
      <c r="L5" s="3">
        <v>0</v>
      </c>
      <c r="M5" s="3">
        <v>0</v>
      </c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970837</v>
      </c>
      <c r="C6" s="3">
        <v>892878</v>
      </c>
      <c r="D6" s="3">
        <v>254526</v>
      </c>
      <c r="E6" s="3">
        <v>242484</v>
      </c>
      <c r="F6" s="3">
        <v>284156</v>
      </c>
      <c r="G6" s="3">
        <v>1116553</v>
      </c>
      <c r="H6" s="3">
        <v>1114234</v>
      </c>
      <c r="I6" s="3">
        <v>990934</v>
      </c>
      <c r="J6" s="3">
        <v>984152</v>
      </c>
      <c r="K6" s="3">
        <v>1608961</v>
      </c>
      <c r="L6" s="3">
        <v>1648895</v>
      </c>
      <c r="M6" s="3">
        <v>1691311</v>
      </c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>
        <v>29462</v>
      </c>
      <c r="G7" s="3">
        <v>18280</v>
      </c>
      <c r="H7" s="3">
        <v>12085</v>
      </c>
      <c r="I7" s="3">
        <v>-105701</v>
      </c>
      <c r="J7" s="3">
        <v>25873</v>
      </c>
      <c r="K7" s="3">
        <v>96581</v>
      </c>
      <c r="L7" s="3">
        <v>113202</v>
      </c>
      <c r="M7" s="3">
        <v>24007</v>
      </c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0</v>
      </c>
      <c r="F10" s="3">
        <v>0</v>
      </c>
      <c r="G10" s="3">
        <v>0</v>
      </c>
      <c r="H10" s="3">
        <v>0</v>
      </c>
      <c r="I10" s="3">
        <v>0</v>
      </c>
      <c r="J10" s="3">
        <v>0</v>
      </c>
      <c r="K10" s="3">
        <v>0</v>
      </c>
      <c r="L10" s="3">
        <v>0</v>
      </c>
      <c r="M10" s="3">
        <v>0</v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41004</v>
      </c>
      <c r="C11" s="3">
        <v>27639</v>
      </c>
      <c r="D11" s="3">
        <v>8378</v>
      </c>
      <c r="E11" s="3">
        <v>4359</v>
      </c>
      <c r="F11" s="3">
        <v>19276</v>
      </c>
      <c r="G11" s="3">
        <v>26606</v>
      </c>
      <c r="H11" s="3">
        <v>26548</v>
      </c>
      <c r="I11" s="3">
        <v>14488</v>
      </c>
      <c r="J11" s="3">
        <v>36810</v>
      </c>
      <c r="K11" s="3">
        <v>112207</v>
      </c>
      <c r="L11" s="3">
        <v>106725</v>
      </c>
      <c r="M11" s="3">
        <v>86005</v>
      </c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7619</v>
      </c>
      <c r="C12" s="3">
        <v>701758</v>
      </c>
      <c r="D12" s="3">
        <v>-9156</v>
      </c>
      <c r="E12" s="3">
        <v>-3316</v>
      </c>
      <c r="F12" s="3">
        <v>37162</v>
      </c>
      <c r="G12" s="3">
        <v>892531</v>
      </c>
      <c r="H12" s="3">
        <v>943935</v>
      </c>
      <c r="I12" s="3">
        <v>796711</v>
      </c>
      <c r="J12" s="3">
        <v>619688</v>
      </c>
      <c r="K12" s="3">
        <v>1557804</v>
      </c>
      <c r="L12" s="3">
        <v>1431910</v>
      </c>
      <c r="M12" s="3">
        <v>1394210</v>
      </c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 s="3">
        <f>Z10-Z11+Z12</f>
      </c>
    </row>
    <row r="14" spans="1:26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 s="3">
        <f>Z9+Z13-Z14</f>
      </c>
    </row>
    <row r="16" spans="1:26" x14ac:dyDescent="0.25">
      <c r="A16" s="2" t="s">
        <v>15</v>
      </c>
      <c r="B16" s="3">
        <v>62317</v>
      </c>
      <c r="C16" s="3">
        <v>53940</v>
      </c>
      <c r="D16" s="3">
        <v>19500</v>
      </c>
      <c r="E16" s="3">
        <v>14106</v>
      </c>
      <c r="F16" s="3">
        <v>-7372</v>
      </c>
      <c r="G16" s="3">
        <v>24377</v>
      </c>
      <c r="H16" s="3">
        <v>64012</v>
      </c>
      <c r="I16" s="3">
        <v>116682</v>
      </c>
      <c r="J16" s="3">
        <v>61666</v>
      </c>
      <c r="K16" s="3">
        <v>182443</v>
      </c>
      <c r="L16" s="3">
        <v>32705</v>
      </c>
      <c r="M16" s="3">
        <v>110038</v>
      </c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>
        <v>0</v>
      </c>
      <c r="I17" s="3">
        <v>0</v>
      </c>
      <c r="J17" s="3">
        <v>0</v>
      </c>
      <c r="K17" s="3">
        <v>0</v>
      </c>
      <c r="L17" s="3">
        <v>0</v>
      </c>
      <c r="M17" s="3">
        <v>0</v>
      </c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-1822</v>
      </c>
      <c r="C18" s="3">
        <v>1045</v>
      </c>
      <c r="D18" s="3">
        <v>-3644</v>
      </c>
      <c r="E18" s="3">
        <v>-1123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>
        <v>0</v>
      </c>
      <c r="M18" s="3">
        <v>0</v>
      </c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>
        <v>0</v>
      </c>
      <c r="M19" s="3">
        <v>0</v>
      </c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 s="3">
        <f>Z15-Z16+Z17-Z18+Z19</f>
      </c>
    </row>
    <row r="21" spans="1:26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20</v>
      </c>
      <c r="B22" s="3">
        <v>51234</v>
      </c>
      <c r="C22" s="3">
        <v>45954</v>
      </c>
      <c r="D22" s="3">
        <v>47285</v>
      </c>
      <c r="E22" s="3">
        <v>57332</v>
      </c>
      <c r="F22" s="3">
        <v>58353</v>
      </c>
      <c r="G22" s="3">
        <v>72979</v>
      </c>
      <c r="H22" s="3">
        <v>68746</v>
      </c>
      <c r="I22" s="3">
        <v>57253</v>
      </c>
      <c r="J22" s="3">
        <v>54437</v>
      </c>
      <c r="K22" s="3">
        <v>150046</v>
      </c>
      <c r="L22" s="3">
        <v>158997</v>
      </c>
      <c r="M22" s="3">
        <v>153099</v>
      </c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x14ac:dyDescent="0.25">
      <c r="A23" s="2" t="s">
        <v>21</v>
      </c>
      <c r="B23" s="3">
        <v>11990</v>
      </c>
      <c r="C23" s="3">
        <v>11225</v>
      </c>
      <c r="D23" s="3">
        <v>10353</v>
      </c>
      <c r="E23" s="3">
        <v>11994</v>
      </c>
      <c r="F23" s="3">
        <v>13616</v>
      </c>
      <c r="G23" s="3">
        <v>8858</v>
      </c>
      <c r="H23" s="3">
        <v>13668</v>
      </c>
      <c r="I23" s="3">
        <v>14890</v>
      </c>
      <c r="J23" s="3">
        <v>13947</v>
      </c>
      <c r="K23" s="3">
        <v>29381</v>
      </c>
      <c r="L23" s="3">
        <v>31513</v>
      </c>
      <c r="M23" s="3">
        <v>32187</v>
      </c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99308</v>
      </c>
      <c r="C24" s="3">
        <v>436293</v>
      </c>
      <c r="D24" s="3">
        <v>68629</v>
      </c>
      <c r="E24" s="3">
        <v>412643</v>
      </c>
      <c r="F24" s="3">
        <v>11068</v>
      </c>
      <c r="G24" s="3">
        <v>255611</v>
      </c>
      <c r="H24" s="3">
        <v>-4933</v>
      </c>
      <c r="I24" s="3">
        <v>20703</v>
      </c>
      <c r="J24" s="3">
        <v>551191</v>
      </c>
      <c r="K24" s="3">
        <v>803426</v>
      </c>
      <c r="L24" s="3">
        <v>98855</v>
      </c>
      <c r="M24" s="3">
        <v>258724</v>
      </c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 s="3">
        <f>Z20+Z22+Z23+Z24</f>
      </c>
    </row>
    <row r="26" spans="1:26" x14ac:dyDescent="0.25">
      <c r="A26" s="2" t="s">
        <v>24</v>
      </c>
      <c r="B26" s="3">
        <v>17272</v>
      </c>
      <c r="C26" s="3">
        <v>14486</v>
      </c>
      <c r="D26" s="3">
        <v>18688</v>
      </c>
      <c r="E26" s="3">
        <v>13672</v>
      </c>
      <c r="F26" s="3">
        <v>14871</v>
      </c>
      <c r="G26" s="3">
        <v>15598</v>
      </c>
      <c r="H26" s="3">
        <v>18639</v>
      </c>
      <c r="I26" s="3">
        <v>20917</v>
      </c>
      <c r="J26" s="3">
        <v>24971</v>
      </c>
      <c r="K26" s="3">
        <v>192235</v>
      </c>
      <c r="L26" s="3">
        <v>40995</v>
      </c>
      <c r="M26" s="3">
        <v>48352</v>
      </c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 s="3">
        <f>Z25-Z26</f>
      </c>
    </row>
    <row r="28" spans="1:26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 s="4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 s="4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 s="4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 s="4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 s="4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 s="4">
        <f>IF(AND(COUNT(Y27,Z27)=2, Z27&lt;&gt;0, Y2&lt;&gt;0), Z27/Y27-1, " ")</f>
      </c>
    </row>
    <row r="35" spans="1:26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x14ac:dyDescent="0.25">
      <c r="A36" s="2" t="s">
        <v>32</v>
      </c>
      <c r="B36" s="3">
        <v>0</v>
      </c>
      <c r="C36" s="3">
        <v>90634</v>
      </c>
      <c r="D36" s="3">
        <v>88178</v>
      </c>
      <c r="E36" s="3">
        <v>83373</v>
      </c>
      <c r="F36" s="3">
        <v>84395</v>
      </c>
      <c r="G36" s="3">
        <v>77631</v>
      </c>
      <c r="H36" s="3">
        <v>63104</v>
      </c>
      <c r="I36" s="3">
        <v>66028</v>
      </c>
      <c r="J36" s="3">
        <v>74239</v>
      </c>
      <c r="K36" s="3">
        <v>279091</v>
      </c>
      <c r="L36" s="3">
        <v>274917</v>
      </c>
      <c r="M36" s="3">
        <v>287150</v>
      </c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x14ac:dyDescent="0.25">
      <c r="A37" s="2" t="s">
        <v>33</v>
      </c>
      <c r="B37" s="3">
        <v>0</v>
      </c>
      <c r="C37" s="3">
        <v>5830119</v>
      </c>
      <c r="D37" s="3">
        <v>6372222</v>
      </c>
      <c r="E37" s="3">
        <v>5896457</v>
      </c>
      <c r="F37" s="3">
        <v>6830960</v>
      </c>
      <c r="G37" s="3">
        <v>7169666</v>
      </c>
      <c r="H37" s="3">
        <v>6138246</v>
      </c>
      <c r="I37" s="3">
        <v>6358288</v>
      </c>
      <c r="J37" s="3">
        <v>7931866</v>
      </c>
      <c r="K37" s="3">
        <v>12652636</v>
      </c>
      <c r="L37" s="3">
        <v>12986552</v>
      </c>
      <c r="M37" s="3">
        <v>13268609</v>
      </c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0</v>
      </c>
      <c r="C38" s="3">
        <v>3741224</v>
      </c>
      <c r="D38" s="3">
        <v>4368197</v>
      </c>
      <c r="E38" s="3">
        <v>4082870</v>
      </c>
      <c r="F38" s="3">
        <v>4912591</v>
      </c>
      <c r="G38" s="3">
        <v>7169666</v>
      </c>
      <c r="H38" s="3">
        <v>6138246</v>
      </c>
      <c r="I38" s="3">
        <v>6358288</v>
      </c>
      <c r="J38" s="3">
        <v>7931866</v>
      </c>
      <c r="K38" s="3">
        <v>12652636</v>
      </c>
      <c r="L38" s="3">
        <v>12986552</v>
      </c>
      <c r="M38" s="3">
        <v>13268609</v>
      </c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>
        <f>H37-H38</f>
      </c>
      <c r="I39" s="3">
        <f>I37-I38</f>
      </c>
      <c r="J39" s="3">
        <f>J37-J38</f>
      </c>
      <c r="K39" s="3">
        <f>K37-K38</f>
      </c>
      <c r="L39" s="3">
        <f>L37-L38</f>
      </c>
      <c r="M39" s="3">
        <f>M37-M38</f>
      </c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2023-12-22T01:43:19Z</cp:lastPrinted>
  <dcterms:created xsi:type="dcterms:W3CDTF">2023-12-22T01:43:19Z</dcterms:created>
  <dcterms:modified xsi:type="dcterms:W3CDTF">2023-12-22T01:43:19Z</dcterms:modified>
</cp:coreProperties>
</file>