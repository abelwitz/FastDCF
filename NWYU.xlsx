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<sst xmlns="http://schemas.openxmlformats.org/spreadsheetml/2006/main" count="72" uniqueCount="68">
  <si>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</si>
  <si>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</si>
  <si>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</si>
  <si>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</si>
  <si>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</si>
  <si>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</si>
  <si>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</si>
  <si>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</si>
  <si>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</si>
  <si>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</si>
  <si>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</si>
  <si>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</si>
  <si>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</si>
  <si>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</si>
  <si>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</si>
  <si>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</si>
  <si>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</si>
  <si>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</si>
  <si>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</si>
  <si>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</si>
  <si>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</si>
  <si>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</si>
  <si>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</si>
  <si>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</si>
  <si>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</si>
  <si>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</si>
  <si>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</si>
  <si>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</si>
  <si>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</si>
  <si>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</si>
  <si>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</si>
  <si>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</si>
  <si>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</si>
  <si>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</si>
  <si>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</si>
  <si>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</si>
  <si>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</si>
  <si>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</si>
  <si>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</si>
  <si>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</si>
  <si>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</si>
  <si>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</si>
  <si>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</si>
  <si>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</si>
  <si>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</si>
  <si>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https://finance.yahoo.com/quote/NWYU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</si>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</sst>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Y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YU" TargetMode="External"/><Relationship Id="rId5" Type="http://schemas.openxmlformats.org/officeDocument/2006/relationships/hyperlink" Target="https://finance.yahoo.com/quote/NWY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536238</v>
      </c>
      <c r="G2" s="3">
        <v>462049</v>
      </c>
      <c r="H2" s="3">
        <v>462049</v>
      </c>
      <c r="I2" s="3">
        <v>898153</v>
      </c>
      <c r="J2" s="3">
        <v>2832426</v>
      </c>
      <c r="K2" s="3">
        <v>2008493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197415</v>
      </c>
      <c r="J3" s="3">
        <v>454760</v>
      </c>
      <c r="K3" s="3">
        <v>285159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188282</v>
      </c>
      <c r="E6" s="3">
        <v>188282</v>
      </c>
      <c r="F6" s="3">
        <v>1412837</v>
      </c>
      <c r="G6" s="3">
        <v>4147709</v>
      </c>
      <c r="H6" s="3">
        <v>4147709</v>
      </c>
      <c r="I6" s="3">
        <v>689991</v>
      </c>
      <c r="J6" s="3">
        <v>2362773</v>
      </c>
      <c r="K6" s="3">
        <v>5791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151226</v>
      </c>
      <c r="C7" s="3">
        <v>14429</v>
      </c>
      <c r="D7" s="3">
        <v>18595</v>
      </c>
      <c r="E7" s="3">
        <v>18595</v>
      </c>
      <c r="F7" s="3">
        <v>1382273</v>
      </c>
      <c r="G7" s="3">
        <v>5476</v>
      </c>
      <c r="H7" s="3">
        <v>5476</v>
      </c>
      <c r="I7" s="3">
        <v>437953</v>
      </c>
      <c r="J7" s="3">
        <v>1706391</v>
      </c>
      <c r="K7" s="3">
        <v>4952881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-1558080</v>
      </c>
      <c r="G10" s="3">
        <v>-549418</v>
      </c>
      <c r="H10" s="3">
        <v>-549418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0</v>
      </c>
      <c r="L10" s="3">
        <v>0</v>
      </c>
      <c r="M10" s="3">
        <v>-744152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-30924</v>
      </c>
      <c r="E11" s="3">
        <v>-30924</v>
      </c>
      <c r="F11" s="3">
        <v>1277320</v>
      </c>
      <c r="G11" s="3">
        <v>628110</v>
      </c>
      <c r="H11" s="3">
        <v>628110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-61848</v>
      </c>
      <c r="E12" s="3">
        <v>-61848</v>
      </c>
      <c r="F12" s="3">
        <v>1277320</v>
      </c>
      <c r="G12" s="3">
        <v>628110</v>
      </c>
      <c r="H12" s="3">
        <v>628110</v>
      </c>
      <c r="I12" s="3">
        <v>0</v>
      </c>
      <c r="J12" s="3">
        <v>0</v>
      </c>
      <c r="K12" s="3">
        <v>-1066421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800</v>
      </c>
      <c r="J16" s="3">
        <v>800</v>
      </c>
      <c r="K16" s="3">
        <v>800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32186</v>
      </c>
      <c r="H18" s="3">
        <v>32186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1050</v>
      </c>
      <c r="G22" s="3">
        <v>1800</v>
      </c>
      <c r="H22" s="3">
        <v>1800</v>
      </c>
      <c r="I22" s="3">
        <v>2414</v>
      </c>
      <c r="J22" s="3">
        <v>10917</v>
      </c>
      <c r="K22" s="3">
        <v>5791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10000</v>
      </c>
      <c r="G23" s="3">
        <v>3212910</v>
      </c>
      <c r="H23" s="3">
        <v>3212910</v>
      </c>
      <c r="I23" s="3">
        <v>0</v>
      </c>
      <c r="J23" s="3">
        <v>677604</v>
      </c>
      <c r="K23" s="3">
        <v>2787568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151226</v>
      </c>
      <c r="C24" s="3">
        <v>14429</v>
      </c>
      <c r="D24" s="3">
        <v>221447</v>
      </c>
      <c r="E24" s="3">
        <v>-3795</v>
      </c>
      <c r="F24" s="3">
        <v>3363362</v>
      </c>
      <c r="G24" s="3">
        <v>802266</v>
      </c>
      <c r="H24" s="3">
        <v>802266</v>
      </c>
      <c r="I24" s="3">
        <v>130231</v>
      </c>
      <c r="J24" s="3">
        <v>642797</v>
      </c>
      <c r="K24" s="3">
        <v>1766983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10018</v>
      </c>
      <c r="G26" s="3">
        <v>1767</v>
      </c>
      <c r="H26" s="3">
        <v>1767</v>
      </c>
      <c r="I26" s="3">
        <v>34001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8968</v>
      </c>
      <c r="H36" s="3">
        <v>8935</v>
      </c>
      <c r="I36" s="3">
        <v>31587</v>
      </c>
      <c r="J36" s="3">
        <v>25795</v>
      </c>
      <c r="K36" s="3">
        <v>20004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197266</v>
      </c>
      <c r="E37" s="3">
        <v>4581</v>
      </c>
      <c r="F37" s="3">
        <v>8583</v>
      </c>
      <c r="G37" s="3">
        <v>326181</v>
      </c>
      <c r="H37" s="3">
        <v>154577</v>
      </c>
      <c r="I37" s="3">
        <v>173259</v>
      </c>
      <c r="J37" s="3">
        <v>299725</v>
      </c>
      <c r="K37" s="3">
        <v>197088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126770</v>
      </c>
      <c r="C38" s="3">
        <v>136699</v>
      </c>
      <c r="D38" s="3">
        <v>363907</v>
      </c>
      <c r="E38" s="3">
        <v>409023</v>
      </c>
      <c r="F38" s="3">
        <v>879470</v>
      </c>
      <c r="G38" s="3">
        <v>1495784</v>
      </c>
      <c r="H38" s="3">
        <v>1435286</v>
      </c>
      <c r="I38" s="3">
        <v>474265</v>
      </c>
      <c r="J38" s="3">
        <v>1270694</v>
      </c>
      <c r="K38" s="3">
        <v>2724299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K37-K38</f>
      </c>
      <c r="J39" s="3">
        <f>L37-L38</f>
      </c>
      <c r="K39" s="3">
        <f>M37-M38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