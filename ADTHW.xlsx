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<sst xmlns="http://schemas.openxmlformats.org/spreadsheetml/2006/main" count="74" uniqueCount="71">
  <si>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</si>
  <si>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</si>
  <si>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</si>
  <si>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</si>
  <si>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</si>
  <si>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</si>
  <si>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</si>
  <si>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</si>
  <si>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</si>
  <si>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</si>
  <si>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</si>
  <si>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</si>
  <si>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</si>
  <si>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</si>
  <si>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</si>
  <si>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</si>
  <si>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</si>
  <si>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</si>
  <si>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</si>
  <si>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</si>
  <si>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</si>
  <si>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</si>
  <si>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</si>
  <si>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</si>
  <si>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</si>
  <si>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</si>
  <si>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</si>
  <si>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</si>
  <si>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</si>
  <si>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</si>
  <si>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</si>
  <si>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</si>
  <si>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</si>
  <si>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</si>
  <si>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</si>
  <si>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</si>
  <si>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</si>
  <si>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</si>
  <si>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</si>
  <si>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</si>
  <si>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</si>
  <si>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</si>
  <si>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</si>
  <si>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</si>
  <si>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</si>
  <si>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</si>
  <si>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</si>
  <si>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</si>
  <si>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https://finance.yahoo.com/quote/ADTHW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</si>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</sst>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DTH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DTHW" TargetMode="External"/><Relationship Id="rId5" Type="http://schemas.openxmlformats.org/officeDocument/2006/relationships/hyperlink" Target="https://finance.yahoo.com/quote/ADTH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121015</v>
      </c>
      <c r="C2" s="3">
        <v>165365</v>
      </c>
      <c r="D2" s="3">
        <v>166082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59458</v>
      </c>
      <c r="C3" s="3">
        <v>77770</v>
      </c>
      <c r="D3" s="3">
        <v>83444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9709</v>
      </c>
      <c r="C5" s="3">
        <v>12393</v>
      </c>
      <c r="D5" s="3">
        <v>16644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39734</v>
      </c>
      <c r="C6" s="3">
        <v>74223</v>
      </c>
      <c r="D6" s="3">
        <v>64715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/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3285</v>
      </c>
      <c r="C11" s="3">
        <v>2404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-3285</v>
      </c>
      <c r="C12" s="3">
        <v>-2404</v>
      </c>
      <c r="D12" s="3">
        <v>263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646</v>
      </c>
      <c r="C13" s="3">
        <v>30204</v>
      </c>
      <c r="D13" s="3">
        <v>28234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2780</v>
      </c>
      <c r="C17" s="3">
        <v>3360</v>
      </c>
      <c r="D17" s="3">
        <v>988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-632</v>
      </c>
      <c r="C19" s="3">
        <v>-784</v>
      </c>
      <c r="D19" s="3">
        <v>-550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146</v>
      </c>
      <c r="C24" s="3">
        <v>148</v>
      </c>
      <c r="D24" s="3">
        <v>193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657</v>
      </c>
      <c r="C25" s="3">
        <v>5823</v>
      </c>
      <c r="D25" s="3">
        <v>11188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9236</v>
      </c>
      <c r="C26" s="3">
        <v>-38487</v>
      </c>
      <c r="D26" s="3">
        <v>-26801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116</v>
      </c>
      <c r="C28" s="3">
        <v>218</v>
      </c>
      <c r="D28" s="3">
        <v>330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326</v>
      </c>
      <c r="C38" s="3">
        <v>409</v>
      </c>
      <c r="D38" s="3">
        <v>520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124010</v>
      </c>
      <c r="C39" s="3">
        <v>213542</v>
      </c>
      <c r="D39" s="3">
        <v>190604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62111</v>
      </c>
      <c r="C40" s="3">
        <v>100243</v>
      </c>
      <c r="D40" s="3">
        <v>35179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38</v>
      </c>
    </row>
    <row r="3" spans="1:3" x14ac:dyDescent="0.25">
      <c r="A3" t="s">
        <v>39</v>
      </c>
      <c r="B3">
        <f>MATCH("Free Cash Flow to Firm", Financials!A:A, 0)</f>
      </c>
      <c r="C3" t="s">
        <v>40</v>
      </c>
    </row>
    <row r="4" spans="1:2" x14ac:dyDescent="0.25">
      <c r="A4" t="s">
        <v>41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42</v>
      </c>
      <c r="B6" s="4"/>
      <c r="C6" t="s">
        <v>43</v>
      </c>
    </row>
    <row r="7" spans="1:3" x14ac:dyDescent="0.25">
      <c r="A7" s="2" t="s">
        <v>44</v>
      </c>
      <c r="B7" s="4"/>
      <c r="C7" t="s">
        <v>45</v>
      </c>
    </row>
    <row r="8" spans="1:4" x14ac:dyDescent="0.25">
      <c r="A8" s="2" t="s">
        <v>46</v>
      </c>
      <c r="C8" t="s">
        <v>47</v>
      </c>
      <c r="D8" t="s">
        <v>48</v>
      </c>
    </row>
    <row r="9" spans="1:4" x14ac:dyDescent="0.25">
      <c r="A9" s="2" t="s">
        <v>49</v>
      </c>
      <c r="B9" s="4"/>
      <c r="C9" t="s">
        <v>50</v>
      </c>
      <c r="D9" t="s">
        <v>51</v>
      </c>
    </row>
    <row r="10" spans="1:4" x14ac:dyDescent="0.25">
      <c r="A10" s="2" t="s">
        <v>52</v>
      </c>
      <c r="B10" s="4"/>
      <c r="C10" t="s">
        <v>53</v>
      </c>
      <c r="D10" t="s">
        <v>54</v>
      </c>
    </row>
    <row r="11" spans="1:2" x14ac:dyDescent="0.25">
      <c r="A11" s="2" t="s">
        <v>55</v>
      </c>
      <c r="B11" s="4">
        <f>B10+B9*B8</f>
      </c>
    </row>
    <row r="12" spans="1:3" x14ac:dyDescent="0.25">
      <c r="A12" s="2" t="s">
        <v>56</v>
      </c>
      <c r="B12" s="4"/>
      <c r="C12" t="s">
        <v>57</v>
      </c>
    </row>
    <row r="13" spans="1:4" x14ac:dyDescent="0.25">
      <c r="A13" s="2" t="s">
        <v>58</v>
      </c>
      <c r="B13" s="3"/>
      <c r="C13" t="s">
        <v>59</v>
      </c>
      <c r="D13" t="s">
        <v>48</v>
      </c>
    </row>
    <row r="14" spans="1:3" x14ac:dyDescent="0.25">
      <c r="A14" s="2" t="s">
        <v>60</v>
      </c>
      <c r="B14" s="3"/>
      <c r="C14" t="s">
        <v>61</v>
      </c>
    </row>
    <row r="15" spans="1:2" x14ac:dyDescent="0.25">
      <c r="A15" t="s">
        <v>62</v>
      </c>
      <c r="B15" s="4">
        <f>IF(B13+B14&lt;&gt;0,((B13/(B13+B14))*B11)+((B14/(B13+B14))*B12*B7), 0)</f>
      </c>
    </row>
    <row r="16" spans="1:2" x14ac:dyDescent="0.25">
      <c r="A16" t="s">
        <v>63</v>
      </c>
      <c r="B16" s="4">
        <f>IF(B4-NOW()&gt;=0, MIN(YEARFRAC(NOW(),B4),1), 0)</f>
      </c>
    </row>
    <row r="17" spans="1:2" x14ac:dyDescent="0.25">
      <c r="A17" t="s">
        <v>64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65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66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67</v>
      </c>
      <c r="B20" s="3"/>
      <c r="C20" t="s">
        <v>68</v>
      </c>
    </row>
    <row r="21" spans="1:4" x14ac:dyDescent="0.25">
      <c r="A21" s="2" t="s">
        <v>69</v>
      </c>
      <c r="B21" s="3"/>
      <c r="C21" t="s">
        <v>59</v>
      </c>
      <c r="D21" t="s">
        <v>48</v>
      </c>
    </row>
    <row r="22" spans="1:2" x14ac:dyDescent="0.25">
      <c r="A22" t="s">
        <v>70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2023-12-24T00:48:25Z</cp:lastPrinted>
  <dcterms:created xsi:type="dcterms:W3CDTF">2023-12-24T00:48:25Z</dcterms:created>
  <dcterms:modified xsi:type="dcterms:W3CDTF">2023-12-24T00:48:25Z</dcterms:modified>
</cp:coreProperties>
</file>