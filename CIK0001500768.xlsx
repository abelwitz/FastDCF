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<sst xmlns="http://schemas.openxmlformats.org/spreadsheetml/2006/main" count="72" uniqueCount="68">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</sst>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6" x14ac:dyDescent="0.25">
      <c r="A2" t="s">
        <v>1</v>
      </c>
      <c r="B2">
        <v>1084293</v>
      </c>
      <c r="C2">
        <v>726342</v>
      </c>
      <c r="D2">
        <v>1937026</v>
      </c>
      <c r="E2">
        <v>777102</v>
      </c>
      <c r="F2">
        <v>789071</v>
      </c>
    </row>
    <row r="3" spans="1:6" x14ac:dyDescent="0.25">
      <c r="A3" t="s">
        <v>2</v>
      </c>
      <c r="B3">
        <v>0</v>
      </c>
      <c r="C3">
        <v>0</v>
      </c>
      <c r="D3">
        <v>0</v>
      </c>
      <c r="E3">
        <v>0</v>
      </c>
      <c r="F3">
        <v>0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6" x14ac:dyDescent="0.25">
      <c r="A5" t="s">
        <v>4</v>
      </c>
      <c r="B5">
        <v>0</v>
      </c>
      <c r="C5">
        <v>0</v>
      </c>
      <c r="D5">
        <v>0</v>
      </c>
      <c r="E5">
        <v>0</v>
      </c>
      <c r="F5">
        <v>0</v>
      </c>
    </row>
    <row r="6" spans="1:6" x14ac:dyDescent="0.25">
      <c r="A6" t="s">
        <v>5</v>
      </c>
      <c r="B6">
        <v>8235795</v>
      </c>
      <c r="C6">
        <v>8346530</v>
      </c>
      <c r="D6">
        <v>9097314</v>
      </c>
      <c r="E6">
        <v>9192099</v>
      </c>
      <c r="F6">
        <v>8791969</v>
      </c>
    </row>
    <row r="7" spans="1:6" x14ac:dyDescent="0.25">
      <c r="A7" t="s">
        <v>6</v>
      </c>
      <c r="B7">
        <v>3138758</v>
      </c>
      <c r="C7">
        <v>2632982</v>
      </c>
      <c r="D7">
        <v>2813113</v>
      </c>
      <c r="E7">
        <v>2669377</v>
      </c>
      <c r="F7">
        <v>2600817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B10">
        <v>19796775</v>
      </c>
      <c r="C10">
        <v>18677511</v>
      </c>
      <c r="D10">
        <v>17408873</v>
      </c>
      <c r="E10">
        <v>16611720</v>
      </c>
      <c r="F10">
        <v>16890001</v>
      </c>
      <c r="G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6" x14ac:dyDescent="0.25">
      <c r="A11" t="s">
        <v>10</v>
      </c>
      <c r="B11">
        <v>6434129</v>
      </c>
      <c r="C11">
        <v>4104192</v>
      </c>
      <c r="D11">
        <v>3209868</v>
      </c>
      <c r="E11">
        <v>2459430</v>
      </c>
      <c r="F11">
        <v>2256402</v>
      </c>
    </row>
    <row r="12" spans="1:6" x14ac:dyDescent="0.25">
      <c r="A12" t="s">
        <v>11</v>
      </c>
      <c r="B12">
        <v>0</v>
      </c>
      <c r="C12">
        <v>0</v>
      </c>
      <c r="D12">
        <v>0</v>
      </c>
      <c r="E12">
        <v>0</v>
      </c>
      <c r="F12">
        <v>0</v>
      </c>
    </row>
    <row r="13" spans="1:26" x14ac:dyDescent="0.25">
      <c r="A13" t="s">
        <v>12</v>
      </c>
      <c r="B13">
        <f>B10-B11+B12</f>
      </c>
      <c r="C13">
        <f>C10-C11+C12</f>
      </c>
      <c r="D13">
        <f>D10-D11+D12</f>
      </c>
      <c r="E13">
        <f>E10-E11+E12</f>
      </c>
      <c r="F13">
        <f>F10-F11+F12</f>
      </c>
      <c r="G13">
        <f>G10-G11+G12</f>
      </c>
      <c r="H13">
        <f>H10-H11+H12</f>
      </c>
      <c r="I13">
        <f>I10-I11+I12</f>
      </c>
      <c r="J13">
        <f>J10-J11+J12</f>
      </c>
      <c r="K13">
        <f>K10-K11+K12</f>
      </c>
      <c r="L13">
        <f>L10-L11+L12</f>
      </c>
      <c r="M13">
        <f>M10-M11+M12</f>
      </c>
      <c r="N13">
        <f>N10-N11+N12</f>
      </c>
      <c r="O13">
        <f>O10-O11+O12</f>
      </c>
      <c r="P1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6" x14ac:dyDescent="0.25">
      <c r="A14" t="s">
        <v>13</v>
      </c>
      <c r="B14">
        <v>2120000</v>
      </c>
      <c r="C14">
        <v>3250000</v>
      </c>
      <c r="D14">
        <v>1025000</v>
      </c>
      <c r="E14">
        <v>900000</v>
      </c>
      <c r="F14">
        <v>450000</v>
      </c>
    </row>
    <row r="15" spans="1:26" x14ac:dyDescent="0.25">
      <c r="A15" t="s">
        <v>14</v>
      </c>
      <c r="B15">
        <f>B9+B13-B14</f>
      </c>
      <c r="C15">
        <f>C9+C13-C14</f>
      </c>
      <c r="D15">
        <f>D9+D13-D14</f>
      </c>
      <c r="E15">
        <f>E9+E13-E14</f>
      </c>
      <c r="F15">
        <f>F9+F13-F14</f>
      </c>
      <c r="G15">
        <f>G9+G13-G14</f>
      </c>
      <c r="H15">
        <f>H9+H13-H14</f>
      </c>
      <c r="I15">
        <f>I9+I13-I14</f>
      </c>
      <c r="J15">
        <f>J9+J13-J14</f>
      </c>
      <c r="K15">
        <f>K9+K13-K14</f>
      </c>
      <c r="L15">
        <f>L9+L13-L14</f>
      </c>
      <c r="M15">
        <f>M9+M13-M14</f>
      </c>
      <c r="N15">
        <f>N9+N13-N14</f>
      </c>
      <c r="O15">
        <f>O9+O13-O14</f>
      </c>
      <c r="P15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6" x14ac:dyDescent="0.25">
      <c r="A16" t="s">
        <v>15</v>
      </c>
      <c r="B16">
        <v>-128000</v>
      </c>
      <c r="C16">
        <v>-79000</v>
      </c>
      <c r="D16">
        <v>659000</v>
      </c>
      <c r="E16">
        <v>760000</v>
      </c>
      <c r="F16">
        <v>1025000</v>
      </c>
    </row>
    <row r="17" spans="1:6" x14ac:dyDescent="0.25">
      <c r="A17" t="s">
        <v>16</v>
      </c>
      <c r="B17">
        <v>0</v>
      </c>
      <c r="C17">
        <v>0</v>
      </c>
      <c r="D17">
        <v>0</v>
      </c>
      <c r="E17">
        <v>0</v>
      </c>
      <c r="F17">
        <v>0</v>
      </c>
    </row>
    <row r="18" spans="1:6" x14ac:dyDescent="0.25">
      <c r="A18" t="s">
        <v>17</v>
      </c>
      <c r="B18">
        <v>0</v>
      </c>
      <c r="C18">
        <v>0</v>
      </c>
      <c r="D18">
        <v>0</v>
      </c>
      <c r="E18">
        <v>0</v>
      </c>
      <c r="F18">
        <v>0</v>
      </c>
    </row>
    <row r="19" spans="1:6" x14ac:dyDescent="0.25">
      <c r="A19" t="s">
        <v>18</v>
      </c>
      <c r="B19">
        <v>0</v>
      </c>
      <c r="C19">
        <v>0</v>
      </c>
      <c r="D19">
        <v>0</v>
      </c>
      <c r="E19">
        <v>0</v>
      </c>
      <c r="F19">
        <v>0</v>
      </c>
    </row>
    <row r="20" spans="1:26" x14ac:dyDescent="0.25">
      <c r="A20" t="s">
        <v>19</v>
      </c>
      <c r="B20">
        <f>B15-B16+B17-B18+B19</f>
      </c>
      <c r="C20">
        <f>C15-C16+C17-C18+C19</f>
      </c>
      <c r="D20">
        <f>D15-D16+D17-D18+D19</f>
      </c>
      <c r="E20">
        <f>E15-E16+E17-E18+E19</f>
      </c>
      <c r="F20">
        <f>F15-F16+F17-F18+F19</f>
      </c>
      <c r="G20">
        <f>G15-G16+G17-G18+G19</f>
      </c>
      <c r="H20">
        <f>H15-H16+H17-H18+H19</f>
      </c>
      <c r="I20">
        <f>I15-I16+I17-I18+I19</f>
      </c>
      <c r="J20">
        <f>J15-J16+J17-J18+J19</f>
      </c>
      <c r="K20">
        <f>K15-K16+K17-K18+K19</f>
      </c>
      <c r="L20">
        <f>L15-L16+L17-L18+L19</f>
      </c>
      <c r="M20">
        <f>M15-M16+M17-M18+M19</f>
      </c>
      <c r="N20">
        <f>N15-N16+N17-N18+N19</f>
      </c>
      <c r="O20">
        <f>O15-O16+O17-O18+O19</f>
      </c>
      <c r="P20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2" spans="1:6" x14ac:dyDescent="0.25">
      <c r="A22" t="s">
        <v>20</v>
      </c>
      <c r="B22">
        <v>0</v>
      </c>
      <c r="C22">
        <v>0</v>
      </c>
      <c r="D22">
        <v>0</v>
      </c>
      <c r="E22">
        <v>0</v>
      </c>
      <c r="F22">
        <v>0</v>
      </c>
    </row>
    <row r="23" spans="1:6" x14ac:dyDescent="0.25">
      <c r="A23" t="s">
        <v>21</v>
      </c>
      <c r="B23">
        <v>104440</v>
      </c>
      <c r="C23">
        <v>442591</v>
      </c>
      <c r="D23">
        <v>766000</v>
      </c>
      <c r="E23">
        <v>846840</v>
      </c>
      <c r="F23">
        <v>1062586</v>
      </c>
    </row>
    <row r="24" spans="1:6" x14ac:dyDescent="0.25">
      <c r="A24" t="s">
        <v>22</v>
      </c>
      <c r="B24">
        <v>2538964</v>
      </c>
      <c r="C24">
        <v>2979320</v>
      </c>
      <c r="D24">
        <v>1778260</v>
      </c>
      <c r="E24">
        <v>2157584</v>
      </c>
      <c r="F24">
        <v>1245593</v>
      </c>
    </row>
    <row r="25" spans="1:26" x14ac:dyDescent="0.25">
      <c r="A25" t="s">
        <v>23</v>
      </c>
      <c r="B25">
        <f>B20+B22+B23+B24</f>
      </c>
      <c r="C25">
        <f>C20+C22+C23+C24</f>
      </c>
      <c r="D25">
        <f>D20+D22+D23+D24</f>
      </c>
      <c r="E25">
        <f>E20+E22+E23+E24</f>
      </c>
      <c r="F25">
        <f>F20+F22+F23+F24</f>
      </c>
      <c r="G25">
        <f>G20+G22+G23+G24</f>
      </c>
      <c r="H25">
        <f>H20+H22+H23+H24</f>
      </c>
      <c r="I25">
        <f>I20+I22+I23+I24</f>
      </c>
      <c r="J25">
        <f>J20+J22+J23+J24</f>
      </c>
      <c r="K25">
        <f>K20+K22+K23+K24</f>
      </c>
      <c r="L25">
        <f>L20+L22+L23+L24</f>
      </c>
      <c r="M25">
        <f>M20+M22+M23+M24</f>
      </c>
      <c r="N25">
        <f>N20+N22+N23+N24</f>
      </c>
      <c r="O25">
        <f>O20+O22+O23+O24</f>
      </c>
      <c r="P25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6" x14ac:dyDescent="0.25">
      <c r="A26" t="s">
        <v>24</v>
      </c>
      <c r="B26">
        <v>524625</v>
      </c>
      <c r="C26">
        <v>392784</v>
      </c>
      <c r="D26">
        <v>778589</v>
      </c>
      <c r="E26">
        <v>325911</v>
      </c>
      <c r="F26">
        <v>367718</v>
      </c>
    </row>
    <row r="27" spans="1:26" x14ac:dyDescent="0.25">
      <c r="A27" t="s">
        <v>25</v>
      </c>
      <c r="B27">
        <f>B25-B26</f>
      </c>
      <c r="C27">
        <f>C25-C26</f>
      </c>
      <c r="D27">
        <f>D25-D26</f>
      </c>
      <c r="E27">
        <f>E25-E26</f>
      </c>
      <c r="F27">
        <f>F25-F26</f>
      </c>
      <c r="G27">
        <f>G25-G26</f>
      </c>
      <c r="H27">
        <f>H25-H26</f>
      </c>
      <c r="I27">
        <f>I25-I26</f>
      </c>
      <c r="J27">
        <f>J25-J26</f>
      </c>
      <c r="K27">
        <f>K25-K26</f>
      </c>
      <c r="L27">
        <f>L25-L26</f>
      </c>
      <c r="M27">
        <f>M25-M26</f>
      </c>
      <c r="N27">
        <f>N25-N26</f>
      </c>
      <c r="O27">
        <f>O25-O26</f>
      </c>
      <c r="P27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9" spans="1:26" x14ac:dyDescent="0.25">
      <c r="A29" t="s">
        <v>26</v>
      </c>
      <c r="C29">
        <f>IF(AND(COUNT(B2,C2)=2, C2&lt;&gt;0, B2&lt;&gt;0), C2/B2-1, " ")</f>
      </c>
      <c r="D29">
        <f>IF(AND(COUNT(C2,D2)=2, D2&lt;&gt;0, C2&lt;&gt;0), D2/C2-1, " ")</f>
      </c>
      <c r="E29">
        <f>IF(AND(COUNT(D2,E2)=2, E2&lt;&gt;0, D2&lt;&gt;0), E2/D2-1, " ")</f>
      </c>
      <c r="F29">
        <f>IF(AND(COUNT(E2,F2)=2, F2&lt;&gt;0, E2&lt;&gt;0), F2/E2-1, " ")</f>
      </c>
      <c r="G29">
        <f>IF(AND(COUNT(F2,G2)=2, G2&lt;&gt;0, F2&lt;&gt;0), G2/F2-1, " ")</f>
      </c>
      <c r="H29">
        <f>IF(AND(COUNT(G2,H2)=2, H2&lt;&gt;0, G2&lt;&gt;0), H2/G2-1, " ")</f>
      </c>
      <c r="I29">
        <f>IF(AND(COUNT(H2,I2)=2, I2&lt;&gt;0, H2&lt;&gt;0), I2/H2-1, " ")</f>
      </c>
      <c r="J29">
        <f>IF(AND(COUNT(I2,J2)=2, J2&lt;&gt;0, I2&lt;&gt;0), J2/I2-1, " ")</f>
      </c>
      <c r="K29">
        <f>IF(AND(COUNT(J2,K2)=2, K2&lt;&gt;0, J2&lt;&gt;0), K2/J2-1, " ")</f>
      </c>
      <c r="L29">
        <f>IF(AND(COUNT(K2,L2)=2, L2&lt;&gt;0, K2&lt;&gt;0), L2/K2-1, " ")</f>
      </c>
      <c r="M29">
        <f>IF(AND(COUNT(L2,M2)=2, M2&lt;&gt;0, L2&lt;&gt;0), M2/L2-1, " ")</f>
      </c>
      <c r="N29">
        <f>IF(AND(COUNT(M2,N2)=2, N2&lt;&gt;0, M2&lt;&gt;0), N2/M2-1, " ")</f>
      </c>
      <c r="O29">
        <f>IF(AND(COUNT(N2,O2)=2, O2&lt;&gt;0, N2&lt;&gt;0), O2/N2-1, " ")</f>
      </c>
      <c r="P29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t="s">
        <v>27</v>
      </c>
      <c r="B30">
        <f>IF(AND(COUNT(B2,B4)=2, B2&lt;&gt;0), B4/B2, " ")</f>
      </c>
      <c r="C30">
        <f>IF(AND(COUNT(C2,C4)=2, C2&lt;&gt;0), C4/C2, " ")</f>
      </c>
      <c r="D30">
        <f>IF(AND(COUNT(D2,D4)=2, D2&lt;&gt;0), D4/D2, " ")</f>
      </c>
      <c r="E30">
        <f>IF(AND(COUNT(E2,E4)=2, E2&lt;&gt;0), E4/E2, " ")</f>
      </c>
      <c r="F30">
        <f>IF(AND(COUNT(F2,F4)=2, F2&lt;&gt;0), F4/F2, " ")</f>
      </c>
      <c r="G30">
        <f>IF(AND(COUNT(G2,G4)=2, G2&lt;&gt;0), G4/G2, " ")</f>
      </c>
      <c r="H30">
        <f>IF(AND(COUNT(H2,H4)=2, H2&lt;&gt;0), H4/H2, " ")</f>
      </c>
      <c r="I30">
        <f>IF(AND(COUNT(I2,I4)=2, I2&lt;&gt;0), I4/I2, " ")</f>
      </c>
      <c r="J30">
        <f>IF(AND(COUNT(J2,J4)=2, J2&lt;&gt;0), J4/J2, " ")</f>
      </c>
      <c r="K30">
        <f>IF(AND(COUNT(K2,K4)=2, K2&lt;&gt;0), K4/K2, " ")</f>
      </c>
      <c r="L30">
        <f>IF(AND(COUNT(L2,L4)=2, L2&lt;&gt;0), L4/L2, " ")</f>
      </c>
      <c r="M30">
        <f>IF(AND(COUNT(M2,M4)=2, M2&lt;&gt;0), M4/M2, " ")</f>
      </c>
      <c r="N30">
        <f>IF(AND(COUNT(N2,N4)=2, N2&lt;&gt;0), N4/N2, " ")</f>
      </c>
      <c r="O30">
        <f>IF(AND(COUNT(O2,O4)=2, O2&lt;&gt;0), O4/O2, " ")</f>
      </c>
      <c r="P30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t="s">
        <v>28</v>
      </c>
      <c r="B31">
        <f>IF(AND(COUNT(B2,B9)=2, B2&lt;&gt;0), B9/B2, " ")</f>
      </c>
      <c r="C31">
        <f>IF(AND(COUNT(C2,C9)=2, C2&lt;&gt;0), C9/C2, " ")</f>
      </c>
      <c r="D31">
        <f>IF(AND(COUNT(D2,D9)=2, D2&lt;&gt;0), D9/D2, " ")</f>
      </c>
      <c r="E31">
        <f>IF(AND(COUNT(E2,E9)=2, E2&lt;&gt;0), E9/E2, " ")</f>
      </c>
      <c r="F31">
        <f>IF(AND(COUNT(F2,F9)=2, F2&lt;&gt;0), F9/F2, " ")</f>
      </c>
      <c r="G31">
        <f>IF(AND(COUNT(G2,G9)=2, G2&lt;&gt;0), G9/G2, " ")</f>
      </c>
      <c r="H31">
        <f>IF(AND(COUNT(H2,H9)=2, H2&lt;&gt;0), H9/H2, " ")</f>
      </c>
      <c r="I31">
        <f>IF(AND(COUNT(I2,I9)=2, I2&lt;&gt;0), I9/I2, " ")</f>
      </c>
      <c r="J31">
        <f>IF(AND(COUNT(J2,J9)=2, J2&lt;&gt;0), J9/J2, " ")</f>
      </c>
      <c r="K31">
        <f>IF(AND(COUNT(K2,K9)=2, K2&lt;&gt;0), K9/K2, " ")</f>
      </c>
      <c r="L31">
        <f>IF(AND(COUNT(L2,L9)=2, L2&lt;&gt;0), L9/L2, " ")</f>
      </c>
      <c r="M31">
        <f>IF(AND(COUNT(M2,M9)=2, M2&lt;&gt;0), M9/M2, " ")</f>
      </c>
      <c r="N31">
        <f>IF(AND(COUNT(N2,N9)=2, N2&lt;&gt;0), N9/N2, " ")</f>
      </c>
      <c r="O31">
        <f>IF(AND(COUNT(O2,O9)=2, O2&lt;&gt;0), O9/O2, " ")</f>
      </c>
      <c r="P31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t="s">
        <v>29</v>
      </c>
      <c r="B32">
        <f>IF(AND(COUNT(B15,B15)=2, B15&lt;&gt;0), B16/B15, " ")</f>
      </c>
      <c r="C32">
        <f>IF(AND(COUNT(C15,C15)=2, C15&lt;&gt;0), C16/C15, " ")</f>
      </c>
      <c r="D32">
        <f>IF(AND(COUNT(D15,D15)=2, D15&lt;&gt;0), D16/D15, " ")</f>
      </c>
      <c r="E32">
        <f>IF(AND(COUNT(E15,E15)=2, E15&lt;&gt;0), E16/E15, " ")</f>
      </c>
      <c r="F32">
        <f>IF(AND(COUNT(F15,F15)=2, F15&lt;&gt;0), F16/F15, " ")</f>
      </c>
      <c r="G32">
        <f>IF(AND(COUNT(G15,G15)=2, G15&lt;&gt;0), G16/G15, " ")</f>
      </c>
      <c r="H32">
        <f>IF(AND(COUNT(H15,H15)=2, H15&lt;&gt;0), H16/H15, " ")</f>
      </c>
      <c r="I32">
        <f>IF(AND(COUNT(I15,I15)=2, I15&lt;&gt;0), I16/I15, " ")</f>
      </c>
      <c r="J32">
        <f>IF(AND(COUNT(J15,J15)=2, J15&lt;&gt;0), J16/J15, " ")</f>
      </c>
      <c r="K32">
        <f>IF(AND(COUNT(K15,K15)=2, K15&lt;&gt;0), K16/K15, " ")</f>
      </c>
      <c r="L32">
        <f>IF(AND(COUNT(L15,L15)=2, L15&lt;&gt;0), L16/L15, " ")</f>
      </c>
      <c r="M32">
        <f>IF(AND(COUNT(M15,M15)=2, M15&lt;&gt;0), M16/M15, " ")</f>
      </c>
      <c r="N32">
        <f>IF(AND(COUNT(N15,N15)=2, N15&lt;&gt;0), N16/N15, " ")</f>
      </c>
      <c r="O32">
        <f>IF(AND(COUNT(O15,O15)=2, O15&lt;&gt;0), O16/O15, " ")</f>
      </c>
      <c r="P32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t="s">
        <v>30</v>
      </c>
      <c r="B33">
        <f>IF(AND(COUNT(B20,B2)=2, B2&lt;&gt;0), B20/B2, " ")</f>
      </c>
      <c r="C33">
        <f>IF(AND(COUNT(C20,C2)=2, C2&lt;&gt;0), C20/C2, " ")</f>
      </c>
      <c r="D33">
        <f>IF(AND(COUNT(D20,D2)=2, D2&lt;&gt;0), D20/D2, " ")</f>
      </c>
      <c r="E33">
        <f>IF(AND(COUNT(E20,E2)=2, E2&lt;&gt;0), E20/E2, " ")</f>
      </c>
      <c r="F33">
        <f>IF(AND(COUNT(F20,F2)=2, F2&lt;&gt;0), F20/F2, " ")</f>
      </c>
      <c r="G33">
        <f>IF(AND(COUNT(G20,G2)=2, G2&lt;&gt;0), G20/G2, " ")</f>
      </c>
      <c r="H33">
        <f>IF(AND(COUNT(H20,H2)=2, H2&lt;&gt;0), H20/H2, " ")</f>
      </c>
      <c r="I33">
        <f>IF(AND(COUNT(I20,I2)=2, I2&lt;&gt;0), I20/I2, " ")</f>
      </c>
      <c r="J33">
        <f>IF(AND(COUNT(J20,J2)=2, J2&lt;&gt;0), J20/J2, " ")</f>
      </c>
      <c r="K33">
        <f>IF(AND(COUNT(K20,K2)=2, K2&lt;&gt;0), K20/K2, " ")</f>
      </c>
      <c r="L33">
        <f>IF(AND(COUNT(L20,L2)=2, L2&lt;&gt;0), L20/L2, " ")</f>
      </c>
      <c r="M33">
        <f>IF(AND(COUNT(M20,M2)=2, M2&lt;&gt;0), M20/M2, " ")</f>
      </c>
      <c r="N33">
        <f>IF(AND(COUNT(N20,N2)=2, N2&lt;&gt;0), N20/N2, " ")</f>
      </c>
      <c r="O33">
        <f>IF(AND(COUNT(O20,O2)=2, O2&lt;&gt;0), O20/O2, " ")</f>
      </c>
      <c r="P33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t="s">
        <v>31</v>
      </c>
      <c r="C34">
        <f>IF(AND(COUNT(B27,C27)=2, C27&lt;&gt;0, B2&lt;&gt;0), C27/B27-1, " ")</f>
      </c>
      <c r="D34">
        <f>IF(AND(COUNT(C27,D27)=2, D27&lt;&gt;0, C2&lt;&gt;0), D27/C27-1, " ")</f>
      </c>
      <c r="E34">
        <f>IF(AND(COUNT(D27,E27)=2, E27&lt;&gt;0, D2&lt;&gt;0), E27/D27-1, " ")</f>
      </c>
      <c r="F34">
        <f>IF(AND(COUNT(E27,F27)=2, F27&lt;&gt;0, E2&lt;&gt;0), F27/E27-1, " ")</f>
      </c>
      <c r="G34">
        <f>IF(AND(COUNT(F27,G27)=2, G27&lt;&gt;0, F2&lt;&gt;0), G27/F27-1, " ")</f>
      </c>
      <c r="H34">
        <f>IF(AND(COUNT(G27,H27)=2, H27&lt;&gt;0, G2&lt;&gt;0), H27/G27-1, " ")</f>
      </c>
      <c r="I34">
        <f>IF(AND(COUNT(H27,I27)=2, I27&lt;&gt;0, H2&lt;&gt;0), I27/H27-1, " ")</f>
      </c>
      <c r="J34">
        <f>IF(AND(COUNT(I27,J27)=2, J27&lt;&gt;0, I2&lt;&gt;0), J27/I27-1, " ")</f>
      </c>
      <c r="K34">
        <f>IF(AND(COUNT(J27,K27)=2, K27&lt;&gt;0, J2&lt;&gt;0), K27/J27-1, " ")</f>
      </c>
      <c r="L34">
        <f>IF(AND(COUNT(K27,L27)=2, L27&lt;&gt;0, K2&lt;&gt;0), L27/K27-1, " ")</f>
      </c>
      <c r="M34">
        <f>IF(AND(COUNT(L27,M27)=2, M27&lt;&gt;0, L2&lt;&gt;0), M27/L27-1, " ")</f>
      </c>
      <c r="N34">
        <f>IF(AND(COUNT(M27,N27)=2, N27&lt;&gt;0, M2&lt;&gt;0), N27/M27-1, " ")</f>
      </c>
      <c r="O34">
        <f>IF(AND(COUNT(N27,O27)=2, O27&lt;&gt;0, N2&lt;&gt;0), O27/N27-1, " ")</f>
      </c>
      <c r="P3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6" spans="1:6" x14ac:dyDescent="0.25">
      <c r="A36" t="s">
        <v>32</v>
      </c>
      <c r="B36">
        <v>2546691</v>
      </c>
      <c r="C36">
        <v>4461033</v>
      </c>
      <c r="D36">
        <v>2688294</v>
      </c>
      <c r="E36">
        <v>2036033</v>
      </c>
      <c r="F36">
        <v>1914065</v>
      </c>
    </row>
    <row r="37" spans="1:6" x14ac:dyDescent="0.25">
      <c r="A37" t="s">
        <v>33</v>
      </c>
      <c r="B37">
        <v>454475809</v>
      </c>
      <c r="C37">
        <v>469486590</v>
      </c>
      <c r="D37">
        <v>460914823</v>
      </c>
      <c r="E37">
        <v>425501970</v>
      </c>
      <c r="F37">
        <v>420829255</v>
      </c>
    </row>
    <row r="38" spans="1:6" x14ac:dyDescent="0.25">
      <c r="A38" t="s">
        <v>34</v>
      </c>
      <c r="B38">
        <v>405484716</v>
      </c>
      <c r="C38">
        <v>386491311</v>
      </c>
      <c r="D38">
        <v>380912537</v>
      </c>
      <c r="E38">
        <v>355333447</v>
      </c>
      <c r="F38">
        <v>354378715</v>
      </c>
    </row>
    <row r="39" spans="1:6" x14ac:dyDescent="0.25">
      <c r="A39" t="s">
        <v>35</v>
      </c>
      <c r="B39">
        <f>B37-B38</f>
      </c>
      <c r="C39">
        <f>C37-C38</f>
      </c>
      <c r="D39">
        <f>D37-D38</f>
      </c>
      <c r="E39">
        <f>E37-E38</f>
      </c>
      <c r="F39">
        <f>F37-F38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39</v>
      </c>
      <c r="B6" s="4"/>
      <c r="C6" t="s">
        <v>40</v>
      </c>
    </row>
    <row r="7" spans="1:3" x14ac:dyDescent="0.25">
      <c r="A7" s="3" t="s">
        <v>41</v>
      </c>
      <c r="B7" s="4"/>
      <c r="C7" t="s">
        <v>42</v>
      </c>
    </row>
    <row r="8" spans="1:4" x14ac:dyDescent="0.25">
      <c r="A8" s="3" t="s">
        <v>43</v>
      </c>
      <c r="C8" t="s">
        <v>44</v>
      </c>
      <c r="D8" t="s">
        <v>45</v>
      </c>
    </row>
    <row r="9" spans="1:4" x14ac:dyDescent="0.25">
      <c r="A9" s="3" t="s">
        <v>46</v>
      </c>
      <c r="B9" s="4"/>
      <c r="C9" t="s">
        <v>47</v>
      </c>
      <c r="D9" t="s">
        <v>48</v>
      </c>
    </row>
    <row r="10" spans="1:4" x14ac:dyDescent="0.25">
      <c r="A10" s="3" t="s">
        <v>49</v>
      </c>
      <c r="B10" s="4"/>
      <c r="C10" t="s">
        <v>50</v>
      </c>
      <c r="D10" t="s">
        <v>51</v>
      </c>
    </row>
    <row r="11" spans="1:2" x14ac:dyDescent="0.25">
      <c r="A11" s="3" t="s">
        <v>52</v>
      </c>
      <c r="B11" s="4">
        <f>B10+B9*B8</f>
      </c>
    </row>
    <row r="12" spans="1:3" x14ac:dyDescent="0.25">
      <c r="A12" s="3" t="s">
        <v>53</v>
      </c>
      <c r="B12" s="4"/>
      <c r="C12" t="s">
        <v>54</v>
      </c>
    </row>
    <row r="13" spans="1:4" x14ac:dyDescent="0.25">
      <c r="A13" s="3" t="s">
        <v>55</v>
      </c>
      <c r="B13" s="5"/>
      <c r="C13" t="s">
        <v>56</v>
      </c>
      <c r="D13" t="s">
        <v>45</v>
      </c>
    </row>
    <row r="14" spans="1:3" x14ac:dyDescent="0.25">
      <c r="A14" s="3" t="s">
        <v>57</v>
      </c>
      <c r="B14" s="5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5"/>
      <c r="C20" t="s">
        <v>65</v>
      </c>
    </row>
    <row r="21" spans="1:4" x14ac:dyDescent="0.25">
      <c r="A21" s="3" t="s">
        <v>66</v>
      </c>
      <c r="B21" s="5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2023-12-22T01:46:09Z</cp:lastPrinted>
  <dcterms:created xsi:type="dcterms:W3CDTF">2023-12-22T01:46:09Z</dcterms:created>
  <dcterms:modified xsi:type="dcterms:W3CDTF">2023-12-22T01:46:09Z</dcterms:modified>
</cp:coreProperties>
</file>