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<sst xmlns="http://schemas.openxmlformats.org/spreadsheetml/2006/main" count="72" uniqueCount="69">
  <si>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</si>
  <si>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</si>
  <si>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</si>
  <si>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</si>
  <si>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</si>
  <si>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</si>
  <si>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</si>
  <si>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</si>
  <si>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</si>
  <si>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</si>
  <si>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</si>
  <si>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</si>
  <si>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</si>
  <si>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</si>
  <si>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</si>
  <si>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</si>
  <si>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</si>
  <si>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</si>
  <si>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</si>
  <si>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</si>
  <si>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</si>
  <si>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</si>
  <si>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</si>
  <si>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</si>
  <si>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</si>
  <si>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</si>
  <si>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</si>
  <si>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</si>
  <si>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</si>
  <si>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</si>
  <si>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</si>
  <si>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</si>
  <si>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</si>
  <si>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</si>
  <si>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</si>
  <si>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</si>
  <si>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</si>
  <si>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</si>
  <si>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</si>
  <si>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</si>
  <si>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</si>
  <si>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</si>
  <si>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</si>
  <si>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</si>
  <si>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</si>
  <si>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</si>
  <si>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https://finance.yahoo.com/quote/NSSC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</si>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</sst>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NSSC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NSSC" TargetMode="External"/><Relationship Id="rId5" Type="http://schemas.openxmlformats.org/officeDocument/2006/relationships/hyperlink" Target="https://finance.yahoo.com/quote/NSSC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4" x14ac:dyDescent="0.25">
      <c r="A1" s="1" t="s">
        <v>0</v>
      </c>
      <c r="B1" s="2">
        <v>2011</v>
      </c>
      <c r="C1" s="2">
        <v>2012</v>
      </c>
      <c r="D1" s="2">
        <v>2013</v>
      </c>
      <c r="E1" s="2">
        <v>2014</v>
      </c>
      <c r="F1" s="2">
        <v>2015</v>
      </c>
      <c r="G1" s="2">
        <v>2016</v>
      </c>
      <c r="H1" s="2">
        <v>2017</v>
      </c>
      <c r="I1" s="2">
        <v>2018</v>
      </c>
      <c r="J1" s="2">
        <v>2019</v>
      </c>
      <c r="K1" s="2">
        <v>2020</v>
      </c>
      <c r="L1" s="2">
        <v>2021</v>
      </c>
      <c r="M1" s="2">
        <v>2022</v>
      </c>
      <c r="N1" s="2">
        <v>2023</v>
      </c>
      <c r="O1" s="2">
        <v>2024</v>
      </c>
      <c r="P1" s="2">
        <v>2025</v>
      </c>
      <c r="Q1" s="2">
        <v>2026</v>
      </c>
      <c r="R1" s="2">
        <v>2027</v>
      </c>
      <c r="S1" s="2">
        <v>2028</v>
      </c>
      <c r="T1" s="2">
        <v>2029</v>
      </c>
      <c r="U1" s="2">
        <v>2030</v>
      </c>
      <c r="V1" s="2">
        <v>2031</v>
      </c>
      <c r="W1" s="2">
        <v>2032</v>
      </c>
      <c r="X1" s="2">
        <v>2033</v>
      </c>
    </row>
    <row r="2" spans="1:24" x14ac:dyDescent="0.25">
      <c r="A2" s="2" t="s">
        <v>1</v>
      </c>
      <c r="B2" s="3">
        <v>71392</v>
      </c>
      <c r="C2" s="3">
        <v>70928</v>
      </c>
      <c r="D2" s="3">
        <v>71386</v>
      </c>
      <c r="E2" s="3">
        <v>74382</v>
      </c>
      <c r="F2" s="3">
        <v>57916</v>
      </c>
      <c r="G2" s="3">
        <v>63155</v>
      </c>
      <c r="H2" s="3">
        <v>7938</v>
      </c>
      <c r="I2" s="3">
        <v>12002</v>
      </c>
      <c r="J2" s="3">
        <v>102932</v>
      </c>
      <c r="K2" s="3">
        <v>101359</v>
      </c>
      <c r="L2" s="3">
        <v>114035</v>
      </c>
      <c r="M2" s="3">
        <v>143593</v>
      </c>
      <c r="N2" s="3">
        <v>169997</v>
      </c>
      <c r="O2" s="3"/>
      <c r="P2" s="3"/>
      <c r="Q2" s="3"/>
      <c r="R2" s="3"/>
      <c r="S2" s="3"/>
      <c r="T2" s="3"/>
      <c r="U2" s="3"/>
      <c r="V2" s="3"/>
      <c r="W2" s="3"/>
      <c r="X2" s="3"/>
    </row>
    <row r="3" spans="1:24" x14ac:dyDescent="0.25">
      <c r="A3" s="2" t="s">
        <v>2</v>
      </c>
      <c r="B3" s="3">
        <v>51291</v>
      </c>
      <c r="C3" s="3">
        <v>49776</v>
      </c>
      <c r="D3" s="3">
        <v>49662</v>
      </c>
      <c r="E3" s="3">
        <v>50669</v>
      </c>
      <c r="F3" s="3">
        <v>51715</v>
      </c>
      <c r="G3" s="3">
        <v>54929</v>
      </c>
      <c r="H3" s="3">
        <v>-541</v>
      </c>
      <c r="I3" s="3">
        <v>-136</v>
      </c>
      <c r="J3" s="3">
        <v>58732</v>
      </c>
      <c r="K3" s="3">
        <v>58515</v>
      </c>
      <c r="L3" s="3">
        <v>63287</v>
      </c>
      <c r="M3" s="3">
        <v>84437</v>
      </c>
      <c r="N3" s="3">
        <v>96764</v>
      </c>
      <c r="O3" s="3"/>
      <c r="P3" s="3"/>
      <c r="Q3" s="3"/>
      <c r="R3" s="3"/>
      <c r="S3" s="3"/>
      <c r="T3" s="3"/>
      <c r="U3" s="3"/>
      <c r="V3" s="3"/>
      <c r="W3" s="3"/>
      <c r="X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>
        <f>Y2-Y3</f>
      </c>
      <c r="Z4">
        <f>Z2-Z3</f>
      </c>
    </row>
    <row r="5" spans="1:24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>
        <v>0</v>
      </c>
      <c r="G5" s="3">
        <v>0</v>
      </c>
      <c r="H5" s="3">
        <v>6723</v>
      </c>
      <c r="I5" s="3">
        <v>6630</v>
      </c>
      <c r="J5" s="3">
        <v>7212</v>
      </c>
      <c r="K5" s="3">
        <v>7257</v>
      </c>
      <c r="L5" s="3">
        <v>7620</v>
      </c>
      <c r="M5" s="3">
        <v>8024</v>
      </c>
      <c r="N5" s="3">
        <v>9328</v>
      </c>
      <c r="O5" s="3"/>
      <c r="P5" s="3"/>
      <c r="Q5" s="3"/>
      <c r="R5" s="3"/>
      <c r="S5" s="3"/>
      <c r="T5" s="3"/>
      <c r="U5" s="3"/>
      <c r="V5" s="3"/>
      <c r="W5" s="3"/>
      <c r="X5" s="3"/>
    </row>
    <row r="6" spans="1:24" x14ac:dyDescent="0.25">
      <c r="A6" s="2" t="s">
        <v>5</v>
      </c>
      <c r="B6" s="3">
        <v>17188</v>
      </c>
      <c r="C6" s="3">
        <v>17341</v>
      </c>
      <c r="D6" s="3">
        <v>18007</v>
      </c>
      <c r="E6" s="3">
        <v>19397</v>
      </c>
      <c r="F6" s="3">
        <v>20766</v>
      </c>
      <c r="G6" s="3">
        <v>21261</v>
      </c>
      <c r="H6" s="3">
        <v>23200</v>
      </c>
      <c r="I6" s="3">
        <v>22951</v>
      </c>
      <c r="J6" s="3">
        <v>23212</v>
      </c>
      <c r="K6" s="3">
        <v>23670</v>
      </c>
      <c r="L6" s="3">
        <v>25196</v>
      </c>
      <c r="M6" s="3">
        <v>32907</v>
      </c>
      <c r="N6" s="3">
        <v>33580</v>
      </c>
      <c r="O6" s="3"/>
      <c r="P6" s="3"/>
      <c r="Q6" s="3"/>
      <c r="R6" s="3"/>
      <c r="S6" s="3"/>
      <c r="T6" s="3"/>
      <c r="U6" s="3"/>
      <c r="V6" s="3"/>
      <c r="W6" s="3"/>
      <c r="X6" s="3"/>
    </row>
    <row r="7" spans="1:24" x14ac:dyDescent="0.25">
      <c r="A7" s="2" t="s">
        <v>6</v>
      </c>
      <c r="B7" s="3">
        <v>400</v>
      </c>
      <c r="C7" s="3">
        <v>0</v>
      </c>
      <c r="D7" s="3">
        <v>0</v>
      </c>
      <c r="E7" s="3">
        <v>0</v>
      </c>
      <c r="F7" s="3">
        <v>-15591</v>
      </c>
      <c r="G7" s="3">
        <v>-14099</v>
      </c>
      <c r="H7" s="3">
        <v>-22610</v>
      </c>
      <c r="I7" s="3">
        <v>0</v>
      </c>
      <c r="J7" s="3">
        <v>0</v>
      </c>
      <c r="K7" s="3">
        <v>1852</v>
      </c>
      <c r="L7" s="3">
        <v>0</v>
      </c>
      <c r="M7" s="3">
        <v>0</v>
      </c>
      <c r="N7" s="3">
        <v>0</v>
      </c>
      <c r="O7" s="3"/>
      <c r="P7" s="3"/>
      <c r="Q7" s="3"/>
      <c r="R7" s="3"/>
      <c r="S7" s="3"/>
      <c r="T7" s="3"/>
      <c r="U7" s="3"/>
      <c r="V7" s="3"/>
      <c r="W7" s="3"/>
      <c r="X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-1706</v>
      </c>
      <c r="C10" s="3">
        <v>-1258</v>
      </c>
      <c r="D10" s="3">
        <v>-509</v>
      </c>
      <c r="E10" s="3">
        <v>-309</v>
      </c>
      <c r="F10" s="3">
        <v>-220</v>
      </c>
      <c r="G10" s="3">
        <v>-179</v>
      </c>
      <c r="H10" s="3">
        <v>-83</v>
      </c>
      <c r="I10" s="3">
        <v>0</v>
      </c>
      <c r="J10" s="3">
        <v>0</v>
      </c>
      <c r="K10" s="3">
        <v>0</v>
      </c>
      <c r="L10" s="3">
        <v>0</v>
      </c>
      <c r="M10" s="3">
        <v>0</v>
      </c>
      <c r="N10" s="3">
        <v>903</v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4" x14ac:dyDescent="0.25">
      <c r="A11" s="2" t="s">
        <v>10</v>
      </c>
      <c r="B11" s="3">
        <v>1660</v>
      </c>
      <c r="C11" s="3">
        <v>1149</v>
      </c>
      <c r="D11" s="3">
        <v>495</v>
      </c>
      <c r="E11" s="3">
        <v>295</v>
      </c>
      <c r="F11" s="3">
        <v>215</v>
      </c>
      <c r="G11" s="3">
        <v>179</v>
      </c>
      <c r="H11" s="3">
        <v>83</v>
      </c>
      <c r="I11" s="3">
        <v>81</v>
      </c>
      <c r="J11" s="3">
        <v>21</v>
      </c>
      <c r="K11" s="3">
        <v>9</v>
      </c>
      <c r="L11" s="3">
        <v>5</v>
      </c>
      <c r="M11" s="3">
        <v>283</v>
      </c>
      <c r="N11" s="3">
        <v>0</v>
      </c>
      <c r="O11" s="3"/>
      <c r="P11" s="3"/>
      <c r="Q11" s="3"/>
      <c r="R11" s="3"/>
      <c r="S11" s="3"/>
      <c r="T11" s="3"/>
      <c r="U11" s="3"/>
      <c r="V11" s="3"/>
      <c r="W11" s="3"/>
      <c r="X11" s="3"/>
    </row>
    <row r="12" spans="1:24" x14ac:dyDescent="0.25">
      <c r="A12" s="2" t="s">
        <v>11</v>
      </c>
      <c r="B12" s="3">
        <v>1660</v>
      </c>
      <c r="C12" s="3">
        <v>1149</v>
      </c>
      <c r="D12" s="3">
        <v>495</v>
      </c>
      <c r="E12" s="3">
        <v>295</v>
      </c>
      <c r="F12" s="3">
        <v>601</v>
      </c>
      <c r="G12" s="3">
        <v>522</v>
      </c>
      <c r="H12" s="3">
        <v>929</v>
      </c>
      <c r="I12" s="3">
        <v>21905</v>
      </c>
      <c r="J12" s="3">
        <v>0</v>
      </c>
      <c r="K12" s="3">
        <v>0</v>
      </c>
      <c r="L12" s="3">
        <v>0</v>
      </c>
      <c r="M12" s="3">
        <v>3904</v>
      </c>
      <c r="N12" s="3">
        <v>0</v>
      </c>
      <c r="O12" s="3"/>
      <c r="P12" s="3"/>
      <c r="Q12" s="3"/>
      <c r="R12" s="3"/>
      <c r="S12" s="3"/>
      <c r="T12" s="3"/>
      <c r="U12" s="3"/>
      <c r="V12" s="3"/>
      <c r="W12" s="3"/>
      <c r="X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 s="3">
        <f>X10-X11+X12</f>
      </c>
      <c r="Y13">
        <f>Y10-Y11+Y12</f>
      </c>
      <c r="Z13">
        <f>Z10-Z11+Z12</f>
      </c>
    </row>
    <row r="14" spans="1:24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 s="3">
        <f>X9+X13-X14</f>
      </c>
      <c r="Y15">
        <f>Y9+Y13-Y14</f>
      </c>
      <c r="Z15">
        <f>Z9+Z13-Z14</f>
      </c>
    </row>
    <row r="16" spans="1:24" x14ac:dyDescent="0.25">
      <c r="A16" s="2" t="s">
        <v>15</v>
      </c>
      <c r="B16" s="3">
        <v>-314</v>
      </c>
      <c r="C16" s="3">
        <v>267</v>
      </c>
      <c r="D16" s="3">
        <v>187</v>
      </c>
      <c r="E16" s="3">
        <v>531</v>
      </c>
      <c r="F16" s="3">
        <v>216</v>
      </c>
      <c r="G16" s="3">
        <v>371</v>
      </c>
      <c r="H16" s="3">
        <v>696</v>
      </c>
      <c r="I16" s="3">
        <v>684</v>
      </c>
      <c r="J16" s="3">
        <v>1274</v>
      </c>
      <c r="K16" s="3">
        <v>2261</v>
      </c>
      <c r="L16" s="3">
        <v>2514</v>
      </c>
      <c r="M16" s="3">
        <v>2247</v>
      </c>
      <c r="N16" s="3">
        <v>4101</v>
      </c>
      <c r="O16" s="3"/>
      <c r="P16" s="3"/>
      <c r="Q16" s="3"/>
      <c r="R16" s="3"/>
      <c r="S16" s="3"/>
      <c r="T16" s="3"/>
      <c r="U16" s="3"/>
      <c r="V16" s="3"/>
      <c r="W16" s="3"/>
      <c r="X16" s="3"/>
    </row>
    <row r="17" spans="1:24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>
        <v>0</v>
      </c>
      <c r="G17" s="3">
        <v>0</v>
      </c>
      <c r="H17" s="3">
        <v>0</v>
      </c>
      <c r="I17" s="3">
        <v>0</v>
      </c>
      <c r="J17" s="3">
        <v>0</v>
      </c>
      <c r="K17" s="3">
        <v>0</v>
      </c>
      <c r="L17" s="3">
        <v>0</v>
      </c>
      <c r="M17" s="3">
        <v>0</v>
      </c>
      <c r="N17" s="3">
        <v>0</v>
      </c>
      <c r="O17" s="3"/>
      <c r="P17" s="3"/>
      <c r="Q17" s="3"/>
      <c r="R17" s="3"/>
      <c r="S17" s="3"/>
      <c r="T17" s="3"/>
      <c r="U17" s="3"/>
      <c r="V17" s="3"/>
      <c r="W17" s="3"/>
      <c r="X17" s="3"/>
    </row>
    <row r="18" spans="1:24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>
        <v>0</v>
      </c>
      <c r="J18" s="3">
        <v>0</v>
      </c>
      <c r="K18" s="3">
        <v>0</v>
      </c>
      <c r="L18" s="3">
        <v>0</v>
      </c>
      <c r="M18" s="3">
        <v>0</v>
      </c>
      <c r="N18" s="3">
        <v>0</v>
      </c>
      <c r="O18" s="3"/>
      <c r="P18" s="3"/>
      <c r="Q18" s="3"/>
      <c r="R18" s="3"/>
      <c r="S18" s="3"/>
      <c r="T18" s="3"/>
      <c r="U18" s="3"/>
      <c r="V18" s="3"/>
      <c r="W18" s="3"/>
      <c r="X18" s="3"/>
    </row>
    <row r="19" spans="1:24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>
        <v>0</v>
      </c>
      <c r="J19" s="3">
        <v>0</v>
      </c>
      <c r="K19" s="3">
        <v>0</v>
      </c>
      <c r="L19" s="3">
        <v>0</v>
      </c>
      <c r="M19" s="3">
        <v>0</v>
      </c>
      <c r="N19" s="3">
        <v>0</v>
      </c>
      <c r="O19" s="3"/>
      <c r="P19" s="3"/>
      <c r="Q19" s="3"/>
      <c r="R19" s="3"/>
      <c r="S19" s="3"/>
      <c r="T19" s="3"/>
      <c r="U19" s="3"/>
      <c r="V19" s="3"/>
      <c r="W19" s="3"/>
      <c r="X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 s="3">
        <f>X15-X16+X17-X18+X19</f>
      </c>
      <c r="Y20">
        <f>Y15-Y16+Y17-Y18+Y19</f>
      </c>
      <c r="Z20">
        <f>Z15-Z16+Z17-Z18+Z19</f>
      </c>
    </row>
    <row r="21" spans="1:24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</row>
    <row r="22" spans="1:24" x14ac:dyDescent="0.25">
      <c r="A22" s="2" t="s">
        <v>20</v>
      </c>
      <c r="B22" s="3">
        <v>2311</v>
      </c>
      <c r="C22" s="3">
        <v>2275</v>
      </c>
      <c r="D22" s="3">
        <v>1974</v>
      </c>
      <c r="E22" s="3">
        <v>1740</v>
      </c>
      <c r="F22" s="3">
        <v>1570</v>
      </c>
      <c r="G22" s="3">
        <v>1420</v>
      </c>
      <c r="H22" s="3">
        <v>1374</v>
      </c>
      <c r="I22" s="3">
        <v>1409</v>
      </c>
      <c r="J22" s="3">
        <v>1409</v>
      </c>
      <c r="K22" s="3">
        <v>1495</v>
      </c>
      <c r="L22" s="3">
        <v>1697</v>
      </c>
      <c r="M22" s="3">
        <v>1380</v>
      </c>
      <c r="N22" s="3">
        <v>1569</v>
      </c>
      <c r="O22" s="3"/>
      <c r="P22" s="3"/>
      <c r="Q22" s="3"/>
      <c r="R22" s="3"/>
      <c r="S22" s="3"/>
      <c r="T22" s="3"/>
      <c r="U22" s="3"/>
      <c r="V22" s="3"/>
      <c r="W22" s="3"/>
      <c r="X22" s="3"/>
    </row>
    <row r="23" spans="1:24" x14ac:dyDescent="0.25">
      <c r="A23" s="2" t="s">
        <v>21</v>
      </c>
      <c r="B23" s="3">
        <v>66</v>
      </c>
      <c r="C23" s="3">
        <v>8</v>
      </c>
      <c r="D23" s="3">
        <v>0</v>
      </c>
      <c r="E23" s="3">
        <v>76</v>
      </c>
      <c r="F23" s="3">
        <v>101</v>
      </c>
      <c r="G23" s="3">
        <v>103</v>
      </c>
      <c r="H23" s="3">
        <v>102</v>
      </c>
      <c r="I23" s="3">
        <v>146</v>
      </c>
      <c r="J23" s="3">
        <v>160</v>
      </c>
      <c r="K23" s="3">
        <v>583</v>
      </c>
      <c r="L23" s="3">
        <v>435</v>
      </c>
      <c r="M23" s="3">
        <v>1649</v>
      </c>
      <c r="N23" s="3">
        <v>1464</v>
      </c>
      <c r="O23" s="3"/>
      <c r="P23" s="3"/>
      <c r="Q23" s="3"/>
      <c r="R23" s="3"/>
      <c r="S23" s="3"/>
      <c r="T23" s="3"/>
      <c r="U23" s="3"/>
      <c r="V23" s="3"/>
      <c r="W23" s="3"/>
      <c r="X23" s="3"/>
    </row>
    <row r="24" spans="1:24" x14ac:dyDescent="0.25">
      <c r="A24" s="2" t="s">
        <v>22</v>
      </c>
      <c r="B24" s="3">
        <v>-3498</v>
      </c>
      <c r="C24" s="3">
        <v>-4569</v>
      </c>
      <c r="D24" s="3">
        <v>-4995</v>
      </c>
      <c r="E24" s="3">
        <v>-5292</v>
      </c>
      <c r="F24" s="3">
        <v>-2647</v>
      </c>
      <c r="G24" s="3">
        <v>-2380</v>
      </c>
      <c r="H24" s="3">
        <v>-261</v>
      </c>
      <c r="I24" s="3">
        <v>2613</v>
      </c>
      <c r="J24" s="3">
        <v>-5397</v>
      </c>
      <c r="K24" s="3">
        <v>432</v>
      </c>
      <c r="L24" s="3">
        <v>5442</v>
      </c>
      <c r="M24" s="3">
        <v>-14296</v>
      </c>
      <c r="N24" s="3">
        <v>-5460</v>
      </c>
      <c r="O24" s="3"/>
      <c r="P24" s="3"/>
      <c r="Q24" s="3"/>
      <c r="R24" s="3"/>
      <c r="S24" s="3"/>
      <c r="T24" s="3"/>
      <c r="U24" s="3"/>
      <c r="V24" s="3"/>
      <c r="W24" s="3"/>
      <c r="X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 s="3">
        <f>X20+X22+X23+X24</f>
      </c>
      <c r="Y25">
        <f>Y20+Y22+Y23+Y24</f>
      </c>
      <c r="Z25">
        <f>Z20+Z22+Z23+Z24</f>
      </c>
    </row>
    <row r="26" spans="1:24" x14ac:dyDescent="0.25">
      <c r="A26" s="2" t="s">
        <v>24</v>
      </c>
      <c r="B26" s="3">
        <v>737</v>
      </c>
      <c r="C26" s="3">
        <v>606</v>
      </c>
      <c r="D26" s="3">
        <v>383</v>
      </c>
      <c r="E26" s="3">
        <v>753</v>
      </c>
      <c r="F26" s="3">
        <v>730</v>
      </c>
      <c r="G26" s="3">
        <v>693</v>
      </c>
      <c r="H26" s="3">
        <v>1414</v>
      </c>
      <c r="I26" s="3">
        <v>1280</v>
      </c>
      <c r="J26" s="3">
        <v>1988</v>
      </c>
      <c r="K26" s="3">
        <v>1615</v>
      </c>
      <c r="L26" s="3">
        <v>1007</v>
      </c>
      <c r="M26" s="3">
        <v>1482</v>
      </c>
      <c r="N26" s="3">
        <v>2962</v>
      </c>
      <c r="O26" s="3"/>
      <c r="P26" s="3"/>
      <c r="Q26" s="3"/>
      <c r="R26" s="3"/>
      <c r="S26" s="3"/>
      <c r="T26" s="3"/>
      <c r="U26" s="3"/>
      <c r="V26" s="3"/>
      <c r="W26" s="3"/>
      <c r="X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 s="3">
        <f>X25-X26</f>
      </c>
      <c r="Y27">
        <f>Y25-Y26</f>
      </c>
      <c r="Z27">
        <f>Z25-Z26</f>
      </c>
    </row>
    <row r="28" spans="1:24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 s="4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 s="4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 s="4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 s="4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 s="4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 s="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24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</row>
    <row r="36" spans="1:24" x14ac:dyDescent="0.25">
      <c r="A36" s="2" t="s">
        <v>32</v>
      </c>
      <c r="B36" s="3">
        <v>7741</v>
      </c>
      <c r="C36" s="3">
        <v>7247</v>
      </c>
      <c r="D36" s="3">
        <v>6586</v>
      </c>
      <c r="E36" s="3">
        <v>6394</v>
      </c>
      <c r="F36" s="3">
        <v>6234</v>
      </c>
      <c r="G36" s="3">
        <v>6049</v>
      </c>
      <c r="H36" s="3">
        <v>6543</v>
      </c>
      <c r="I36" s="3">
        <v>6791</v>
      </c>
      <c r="J36" s="3">
        <v>7694</v>
      </c>
      <c r="K36" s="3">
        <v>8088</v>
      </c>
      <c r="L36" s="3">
        <v>7836</v>
      </c>
      <c r="M36" s="3">
        <v>7939</v>
      </c>
      <c r="N36" s="3">
        <v>9308</v>
      </c>
      <c r="O36" s="3"/>
      <c r="P36" s="3"/>
      <c r="Q36" s="3"/>
      <c r="R36" s="3"/>
      <c r="S36" s="3"/>
      <c r="T36" s="3"/>
      <c r="U36" s="3"/>
      <c r="V36" s="3"/>
      <c r="W36" s="3"/>
      <c r="X36" s="3"/>
    </row>
    <row r="37" spans="1:24" x14ac:dyDescent="0.25">
      <c r="A37" s="2" t="s">
        <v>33</v>
      </c>
      <c r="B37" s="3">
        <v>68795</v>
      </c>
      <c r="C37" s="3">
        <v>64750</v>
      </c>
      <c r="D37" s="3">
        <v>63903</v>
      </c>
      <c r="E37" s="3">
        <v>63364</v>
      </c>
      <c r="F37" s="3">
        <v>65037</v>
      </c>
      <c r="G37" s="3">
        <v>64769</v>
      </c>
      <c r="H37" s="3">
        <v>70862</v>
      </c>
      <c r="I37" s="3">
        <v>73269</v>
      </c>
      <c r="J37" s="3">
        <v>85908</v>
      </c>
      <c r="K37" s="3">
        <v>105838</v>
      </c>
      <c r="L37" s="3">
        <v>122551</v>
      </c>
      <c r="M37" s="3">
        <v>148576</v>
      </c>
      <c r="N37" s="3">
        <v>166654</v>
      </c>
      <c r="O37" s="3"/>
      <c r="P37" s="3"/>
      <c r="Q37" s="3"/>
      <c r="R37" s="3"/>
      <c r="S37" s="3"/>
      <c r="T37" s="3"/>
      <c r="U37" s="3"/>
      <c r="V37" s="3"/>
      <c r="W37" s="3"/>
      <c r="X37" s="3"/>
    </row>
    <row r="38" spans="1:24" x14ac:dyDescent="0.25">
      <c r="A38" s="2" t="s">
        <v>34</v>
      </c>
      <c r="B38" s="3">
        <v>33366</v>
      </c>
      <c r="C38" s="3">
        <v>27027</v>
      </c>
      <c r="D38" s="3">
        <v>23568</v>
      </c>
      <c r="E38" s="3">
        <v>19612</v>
      </c>
      <c r="F38" s="3">
        <v>18533</v>
      </c>
      <c r="G38" s="3">
        <v>13496</v>
      </c>
      <c r="H38" s="3">
        <v>13973</v>
      </c>
      <c r="I38" s="3">
        <v>9816</v>
      </c>
      <c r="J38" s="3">
        <v>15372</v>
      </c>
      <c r="K38" s="3">
        <v>29298</v>
      </c>
      <c r="L38" s="3">
        <v>30163</v>
      </c>
      <c r="M38" s="3">
        <v>34785</v>
      </c>
      <c r="N38" s="3">
        <v>26485</v>
      </c>
      <c r="O38" s="3"/>
      <c r="P38" s="3"/>
      <c r="Q38" s="3"/>
      <c r="R38" s="3"/>
      <c r="S38" s="3"/>
      <c r="T38" s="3"/>
      <c r="U38" s="3"/>
      <c r="V38" s="3"/>
      <c r="W38" s="3"/>
      <c r="X38" s="3"/>
    </row>
    <row r="39" spans="1:24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>
        <f>F37-F38</f>
      </c>
      <c r="G39" s="3">
        <f>G37-G38</f>
      </c>
      <c r="H39" s="3">
        <f>H37-H38</f>
      </c>
      <c r="I39" s="3">
        <f>I37-I38</f>
      </c>
      <c r="J39" s="3">
        <f>J37-J38</f>
      </c>
      <c r="K39" s="3">
        <f>K37-K38</f>
      </c>
      <c r="L39" s="3">
        <f>L37-L38</f>
      </c>
      <c r="M39" s="3">
        <f>M37-M38</f>
      </c>
      <c r="N39" s="3">
        <f>N37-N38</f>
      </c>
      <c r="O39" s="3"/>
      <c r="P39" s="3"/>
      <c r="Q39" s="3"/>
      <c r="R39" s="3"/>
      <c r="S39" s="3"/>
      <c r="T39" s="3"/>
      <c r="U39" s="3"/>
      <c r="V39" s="3"/>
      <c r="W39" s="3"/>
      <c r="X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36</v>
      </c>
    </row>
    <row r="3" spans="1:3" x14ac:dyDescent="0.25">
      <c r="A3" t="s">
        <v>37</v>
      </c>
      <c r="B3">
        <f>MATCH("Free Cash Flow to Firm", Financials!A:A, 0)</f>
      </c>
      <c r="C3" t="s">
        <v>38</v>
      </c>
    </row>
    <row r="4" spans="1:2" x14ac:dyDescent="0.25">
      <c r="A4" t="s">
        <v>39</v>
      </c>
      <c r="B4" s="5">
        <f>DATE(YEAR(TODAY()), 6, 30)</f>
      </c>
    </row>
    <row r="5" spans="1:1" x14ac:dyDescent="0.25">
      <c r="A5" s="2"/>
    </row>
    <row r="6" spans="1:3" x14ac:dyDescent="0.25">
      <c r="A6" s="2" t="s">
        <v>40</v>
      </c>
      <c r="B6" s="4"/>
      <c r="C6" t="s">
        <v>41</v>
      </c>
    </row>
    <row r="7" spans="1:3" x14ac:dyDescent="0.25">
      <c r="A7" s="2" t="s">
        <v>42</v>
      </c>
      <c r="B7" s="4"/>
      <c r="C7" t="s">
        <v>43</v>
      </c>
    </row>
    <row r="8" spans="1:4" x14ac:dyDescent="0.25">
      <c r="A8" s="2" t="s">
        <v>44</v>
      </c>
      <c r="C8" t="s">
        <v>45</v>
      </c>
      <c r="D8" t="s">
        <v>46</v>
      </c>
    </row>
    <row r="9" spans="1:4" x14ac:dyDescent="0.25">
      <c r="A9" s="2" t="s">
        <v>47</v>
      </c>
      <c r="B9" s="4"/>
      <c r="C9" t="s">
        <v>48</v>
      </c>
      <c r="D9" t="s">
        <v>49</v>
      </c>
    </row>
    <row r="10" spans="1:4" x14ac:dyDescent="0.25">
      <c r="A10" s="2" t="s">
        <v>50</v>
      </c>
      <c r="B10" s="4"/>
      <c r="C10" t="s">
        <v>51</v>
      </c>
      <c r="D10" t="s">
        <v>52</v>
      </c>
    </row>
    <row r="11" spans="1:2" x14ac:dyDescent="0.25">
      <c r="A11" s="2" t="s">
        <v>53</v>
      </c>
      <c r="B11" s="4">
        <f>B10+B9*B8</f>
      </c>
    </row>
    <row r="12" spans="1:3" x14ac:dyDescent="0.25">
      <c r="A12" s="2" t="s">
        <v>54</v>
      </c>
      <c r="B12" s="4"/>
      <c r="C12" t="s">
        <v>55</v>
      </c>
    </row>
    <row r="13" spans="1:4" x14ac:dyDescent="0.25">
      <c r="A13" s="2" t="s">
        <v>56</v>
      </c>
      <c r="B13" s="3"/>
      <c r="C13" t="s">
        <v>57</v>
      </c>
      <c r="D13" t="s">
        <v>46</v>
      </c>
    </row>
    <row r="14" spans="1:3" x14ac:dyDescent="0.25">
      <c r="A14" s="2" t="s">
        <v>58</v>
      </c>
      <c r="B14" s="3"/>
      <c r="C14" t="s">
        <v>59</v>
      </c>
    </row>
    <row r="15" spans="1:2" x14ac:dyDescent="0.25">
      <c r="A15" t="s">
        <v>60</v>
      </c>
      <c r="B15" s="4">
        <f>IF(B13+B14&lt;&gt;0,((B13/(B13+B14))*B11)+((B14/(B13+B14))*B12*B7), 0)</f>
      </c>
    </row>
    <row r="16" spans="1:2" x14ac:dyDescent="0.25">
      <c r="A16" t="s">
        <v>61</v>
      </c>
      <c r="B16" s="4">
        <f>IF(B4-NOW()&gt;=0, MIN(YEARFRAC(NOW(),B4),1), 0)</f>
      </c>
    </row>
    <row r="17" spans="1:2" x14ac:dyDescent="0.25">
      <c r="A17" t="s">
        <v>62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63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64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65</v>
      </c>
      <c r="B20" s="3"/>
      <c r="C20" t="s">
        <v>66</v>
      </c>
    </row>
    <row r="21" spans="1:4" x14ac:dyDescent="0.25">
      <c r="A21" s="2" t="s">
        <v>67</v>
      </c>
      <c r="B21" s="3"/>
      <c r="C21" t="s">
        <v>57</v>
      </c>
      <c r="D21" t="s">
        <v>46</v>
      </c>
    </row>
    <row r="22" spans="1:2" x14ac:dyDescent="0.25">
      <c r="A22" t="s">
        <v>68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2023-12-22T01:42:48Z</cp:lastPrinted>
  <dcterms:created xsi:type="dcterms:W3CDTF">2023-12-22T01:42:48Z</dcterms:created>
  <dcterms:modified xsi:type="dcterms:W3CDTF">2023-12-22T01:42:48Z</dcterms:modified>
</cp:coreProperties>
</file>