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<sst xmlns="http://schemas.openxmlformats.org/spreadsheetml/2006/main" count="72" uniqueCount="68">
  <si>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</si>
  <si>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</si>
  <si>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</si>
  <si>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</si>
  <si>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</si>
  <si>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</si>
  <si>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</si>
  <si>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</si>
  <si>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</si>
  <si>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</si>
  <si>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</si>
  <si>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</si>
  <si>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</si>
  <si>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</si>
  <si>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</si>
  <si>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</si>
  <si>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</si>
  <si>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</si>
  <si>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</si>
  <si>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</si>
  <si>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</si>
  <si>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</si>
  <si>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</si>
  <si>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</si>
  <si>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</si>
  <si>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</si>
  <si>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</si>
  <si>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</si>
  <si>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</si>
  <si>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</si>
  <si>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</si>
  <si>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</si>
  <si>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</si>
  <si>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</si>
  <si>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</si>
  <si>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</si>
  <si>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</si>
  <si>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</si>
  <si>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</si>
  <si>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</si>
  <si>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</si>
  <si>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</si>
  <si>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</si>
  <si>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</si>
  <si>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</si>
  <si>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https://finance.yahoo.com/quote/FWFW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</si>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</sst>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FWFW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FWFW" TargetMode="External"/><Relationship Id="rId5" Type="http://schemas.openxmlformats.org/officeDocument/2006/relationships/hyperlink" Target="https://finance.yahoo.com/quote/FWFW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0</v>
      </c>
      <c r="C2" s="3">
        <v>0</v>
      </c>
      <c r="D2" s="3">
        <v>0</v>
      </c>
      <c r="E2" s="3">
        <v>85003</v>
      </c>
      <c r="F2" s="3">
        <v>22670</v>
      </c>
      <c r="G2" s="3">
        <v>0</v>
      </c>
      <c r="H2" s="3">
        <v>0</v>
      </c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>
        <v>0</v>
      </c>
      <c r="G3" s="3">
        <v>0</v>
      </c>
      <c r="H3" s="3">
        <v>0</v>
      </c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>
        <v>0</v>
      </c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50</v>
      </c>
      <c r="C6" s="3">
        <v>17413</v>
      </c>
      <c r="D6" s="3">
        <v>18717</v>
      </c>
      <c r="E6" s="3">
        <v>36977</v>
      </c>
      <c r="F6" s="3">
        <v>22670</v>
      </c>
      <c r="G6" s="3">
        <v>4159</v>
      </c>
      <c r="H6" s="3">
        <v>23657</v>
      </c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9793</v>
      </c>
      <c r="C7" s="3">
        <v>0</v>
      </c>
      <c r="D7" s="3">
        <v>0</v>
      </c>
      <c r="E7" s="3">
        <v>92206</v>
      </c>
      <c r="F7" s="3">
        <v>0</v>
      </c>
      <c r="G7" s="3">
        <v>2388148</v>
      </c>
      <c r="H7" s="3">
        <v>180473</v>
      </c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-70003</v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v>0</v>
      </c>
      <c r="M10" s="3">
        <v>0</v>
      </c>
      <c r="N10" s="3">
        <v>0</v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0</v>
      </c>
      <c r="C11" s="3">
        <v>0</v>
      </c>
      <c r="D11" s="3">
        <v>0</v>
      </c>
      <c r="E11" s="3">
        <v>70003</v>
      </c>
      <c r="F11" s="3">
        <v>0</v>
      </c>
      <c r="G11" s="3">
        <v>0</v>
      </c>
      <c r="H11" s="3">
        <v>0</v>
      </c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0</v>
      </c>
      <c r="C12" s="3">
        <v>0</v>
      </c>
      <c r="D12" s="3">
        <v>0</v>
      </c>
      <c r="E12" s="3">
        <v>0</v>
      </c>
      <c r="F12" s="3">
        <v>-22670</v>
      </c>
      <c r="G12" s="3">
        <v>0</v>
      </c>
      <c r="H12" s="3">
        <v>0</v>
      </c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>
        <f>Z10-Z11+Z12</f>
      </c>
    </row>
    <row r="14" spans="1:25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>
        <f>Z9+Z13-Z14</f>
      </c>
    </row>
    <row r="16" spans="1:25" x14ac:dyDescent="0.25">
      <c r="A16" s="2" t="s">
        <v>15</v>
      </c>
      <c r="B16" s="3">
        <v>0</v>
      </c>
      <c r="C16" s="3">
        <v>0</v>
      </c>
      <c r="D16" s="3">
        <v>0</v>
      </c>
      <c r="E16" s="3">
        <v>0</v>
      </c>
      <c r="F16" s="3">
        <v>0</v>
      </c>
      <c r="G16" s="3">
        <v>0</v>
      </c>
      <c r="H16" s="3">
        <v>0</v>
      </c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</row>
    <row r="17" spans="1:25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>
        <f>Z15-Z16+Z17-Z18+Z19</f>
      </c>
    </row>
    <row r="21" spans="1:25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5" x14ac:dyDescent="0.25">
      <c r="A22" s="2" t="s">
        <v>20</v>
      </c>
      <c r="B22" s="3">
        <v>0</v>
      </c>
      <c r="C22" s="3">
        <v>0</v>
      </c>
      <c r="D22" s="3">
        <v>0</v>
      </c>
      <c r="E22" s="3">
        <v>0</v>
      </c>
      <c r="F22" s="3">
        <v>0</v>
      </c>
      <c r="G22" s="3">
        <v>0</v>
      </c>
      <c r="H22" s="3">
        <v>0</v>
      </c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</row>
    <row r="23" spans="1:25" x14ac:dyDescent="0.25">
      <c r="A23" s="2" t="s">
        <v>21</v>
      </c>
      <c r="B23" s="3">
        <v>0</v>
      </c>
      <c r="C23" s="3">
        <v>0</v>
      </c>
      <c r="D23" s="3">
        <v>0</v>
      </c>
      <c r="E23" s="3">
        <v>0</v>
      </c>
      <c r="F23" s="3">
        <v>0</v>
      </c>
      <c r="G23" s="3">
        <v>2369070</v>
      </c>
      <c r="H23" s="3">
        <v>0</v>
      </c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3500</v>
      </c>
      <c r="C24" s="3">
        <v>1000</v>
      </c>
      <c r="D24" s="3">
        <v>2790</v>
      </c>
      <c r="E24" s="3">
        <v>95505</v>
      </c>
      <c r="F24" s="3">
        <v>0</v>
      </c>
      <c r="G24" s="3">
        <v>0</v>
      </c>
      <c r="H24" s="3">
        <v>22920</v>
      </c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>
        <f>Z20+Z22+Z23+Z24</f>
      </c>
    </row>
    <row r="26" spans="1:25" x14ac:dyDescent="0.25">
      <c r="A26" s="2" t="s">
        <v>24</v>
      </c>
      <c r="B26" s="3">
        <v>0</v>
      </c>
      <c r="C26" s="3">
        <v>0</v>
      </c>
      <c r="D26" s="3">
        <v>0</v>
      </c>
      <c r="E26" s="3">
        <v>-682</v>
      </c>
      <c r="F26" s="3">
        <v>0</v>
      </c>
      <c r="G26" s="3">
        <v>0</v>
      </c>
      <c r="H26" s="3">
        <v>0</v>
      </c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>
        <f>Z25-Z26</f>
      </c>
    </row>
    <row r="28" spans="1:25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>
        <f>IF(AND(COUNT(Y27,Z27)=2, Z27&lt;&gt;0, Y2&lt;&gt;0), Z27/Y27-1, " ")</f>
      </c>
    </row>
    <row r="35" spans="1:25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</row>
    <row r="36" spans="1:25" x14ac:dyDescent="0.25">
      <c r="A36" s="2" t="s">
        <v>32</v>
      </c>
      <c r="B36" s="3">
        <v>0</v>
      </c>
      <c r="C36" s="3">
        <v>0</v>
      </c>
      <c r="D36" s="3">
        <v>0</v>
      </c>
      <c r="E36" s="3">
        <v>0</v>
      </c>
      <c r="F36" s="3">
        <v>0</v>
      </c>
      <c r="G36" s="3">
        <v>0</v>
      </c>
      <c r="H36" s="3">
        <v>0</v>
      </c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</row>
    <row r="37" spans="1:25" x14ac:dyDescent="0.25">
      <c r="A37" s="2" t="s">
        <v>33</v>
      </c>
      <c r="B37" s="3">
        <v>1936</v>
      </c>
      <c r="C37" s="3">
        <v>4</v>
      </c>
      <c r="D37" s="3">
        <v>450</v>
      </c>
      <c r="E37" s="3">
        <v>8072</v>
      </c>
      <c r="F37" s="3">
        <v>0</v>
      </c>
      <c r="G37" s="3">
        <v>0</v>
      </c>
      <c r="H37" s="3">
        <v>0</v>
      </c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6779</v>
      </c>
      <c r="C38" s="3">
        <v>16760</v>
      </c>
      <c r="D38" s="3">
        <v>35473</v>
      </c>
      <c r="E38" s="3">
        <v>446880</v>
      </c>
      <c r="F38" s="3">
        <v>22669</v>
      </c>
      <c r="G38" s="3">
        <v>0</v>
      </c>
      <c r="H38" s="3">
        <v>204130</v>
      </c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L37-L38</f>
      </c>
      <c r="G39" s="3">
        <f>M37-M38</f>
      </c>
      <c r="H39" s="3">
        <f>N37-N38</f>
      </c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2023-12-22T01:46:04Z</cp:lastPrinted>
  <dcterms:created xsi:type="dcterms:W3CDTF">2023-12-22T01:46:04Z</dcterms:created>
  <dcterms:modified xsi:type="dcterms:W3CDTF">2023-12-22T01:46:04Z</dcterms:modified>
</cp:coreProperties>
</file>