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<sst xmlns="http://schemas.openxmlformats.org/spreadsheetml/2006/main" count="72" uniqueCount="69">
  <si>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</si>
  <si>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</si>
  <si>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</si>
  <si>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</si>
  <si>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</si>
  <si>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</si>
  <si>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</si>
  <si>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</si>
  <si>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</si>
  <si>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</si>
  <si>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</si>
  <si>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</si>
  <si>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</si>
  <si>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</si>
  <si>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</si>
  <si>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</si>
  <si>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</si>
  <si>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</si>
  <si>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</si>
  <si>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</si>
  <si>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</si>
  <si>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</si>
  <si>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</si>
  <si>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</si>
  <si>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</si>
  <si>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</si>
  <si>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</si>
  <si>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</si>
  <si>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</si>
  <si>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</si>
  <si>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</si>
  <si>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</si>
  <si>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</si>
  <si>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</si>
  <si>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</si>
  <si>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</si>
  <si>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</si>
  <si>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</si>
  <si>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</si>
  <si>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</si>
  <si>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</si>
  <si>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</si>
  <si>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</si>
  <si>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</si>
  <si>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</si>
  <si>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</si>
  <si>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https://finance.yahoo.com/quote/CRBU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</si>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</sst>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CRBU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CRBU" TargetMode="External"/><Relationship Id="rId5" Type="http://schemas.openxmlformats.org/officeDocument/2006/relationships/hyperlink" Target="https://finance.yahoo.com/quote/CRBU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6" x14ac:dyDescent="0.25">
      <c r="A1" s="1" t="s">
        <v>0</v>
      </c>
      <c r="B1" s="2">
        <v>2019</v>
      </c>
      <c r="C1" s="2">
        <v>2020</v>
      </c>
      <c r="D1" s="2">
        <v>2021</v>
      </c>
      <c r="E1" s="2">
        <v>2022</v>
      </c>
      <c r="F1" s="2">
        <v>2023</v>
      </c>
      <c r="G1" s="2">
        <v>2024</v>
      </c>
      <c r="H1" s="2">
        <v>2025</v>
      </c>
      <c r="I1" s="2">
        <v>2026</v>
      </c>
      <c r="J1" s="2">
        <v>2027</v>
      </c>
      <c r="K1" s="2">
        <v>2028</v>
      </c>
      <c r="L1" s="2">
        <v>2029</v>
      </c>
      <c r="M1" s="2">
        <v>2030</v>
      </c>
      <c r="N1" s="2">
        <v>2031</v>
      </c>
      <c r="O1" s="2">
        <v>2032</v>
      </c>
      <c r="P1" s="2">
        <v>2033</v>
      </c>
    </row>
    <row r="2" spans="1:16" x14ac:dyDescent="0.25">
      <c r="A2" s="2" t="s">
        <v>1</v>
      </c>
      <c r="B2" s="3">
        <v>5788</v>
      </c>
      <c r="C2" s="3">
        <v>984</v>
      </c>
      <c r="D2" s="3">
        <v>2559</v>
      </c>
      <c r="E2" s="3">
        <v>13851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</row>
    <row r="3" spans="1:16" x14ac:dyDescent="0.25">
      <c r="A3" s="2" t="s">
        <v>2</v>
      </c>
      <c r="B3" s="3">
        <v>0</v>
      </c>
      <c r="C3" s="3">
        <v>0</v>
      </c>
      <c r="D3" s="3">
        <v>0</v>
      </c>
      <c r="E3" s="3">
        <v>0</v>
      </c>
      <c r="F3" s="3"/>
      <c r="G3" s="3"/>
      <c r="H3" s="3"/>
      <c r="I3" s="3"/>
      <c r="J3" s="3"/>
      <c r="K3" s="3"/>
      <c r="L3" s="3"/>
      <c r="M3" s="3"/>
      <c r="N3" s="3"/>
      <c r="O3" s="3"/>
      <c r="P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6" x14ac:dyDescent="0.25">
      <c r="A5" s="2" t="s">
        <v>4</v>
      </c>
      <c r="B5" s="3">
        <v>23635</v>
      </c>
      <c r="C5" s="3">
        <v>12024</v>
      </c>
      <c r="D5" s="3">
        <v>15111</v>
      </c>
      <c r="E5" s="3">
        <v>82230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</row>
    <row r="6" spans="1:16" x14ac:dyDescent="0.25">
      <c r="A6" s="2" t="s">
        <v>5</v>
      </c>
      <c r="B6" s="3">
        <v>16458</v>
      </c>
      <c r="C6" s="3">
        <v>4171</v>
      </c>
      <c r="D6" s="3">
        <v>7853</v>
      </c>
      <c r="E6" s="3">
        <v>38020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</row>
    <row r="7" spans="1:16" x14ac:dyDescent="0.25">
      <c r="A7" s="2" t="s">
        <v>6</v>
      </c>
      <c r="B7" s="3">
        <v>0</v>
      </c>
      <c r="C7" s="3">
        <v>0</v>
      </c>
      <c r="D7" s="3">
        <v>0</v>
      </c>
      <c r="E7" s="3">
        <v>0</v>
      </c>
      <c r="F7" s="3"/>
      <c r="G7" s="3"/>
      <c r="H7" s="3"/>
      <c r="I7" s="3"/>
      <c r="J7" s="3"/>
      <c r="K7" s="3"/>
      <c r="L7" s="3"/>
      <c r="M7" s="3"/>
      <c r="N7" s="3"/>
      <c r="O7" s="3"/>
      <c r="P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1047</v>
      </c>
      <c r="C10" s="3">
        <v>236</v>
      </c>
      <c r="D10" s="3">
        <v>148</v>
      </c>
      <c r="E10" s="3">
        <v>7048</v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6" x14ac:dyDescent="0.25">
      <c r="A11" s="2" t="s">
        <v>10</v>
      </c>
      <c r="B11" s="3">
        <v>4</v>
      </c>
      <c r="C11" s="3">
        <v>20</v>
      </c>
      <c r="D11" s="3">
        <v>8</v>
      </c>
      <c r="E11" s="3">
        <v>0</v>
      </c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</row>
    <row r="12" spans="1:16" x14ac:dyDescent="0.25">
      <c r="A12" s="2" t="s">
        <v>11</v>
      </c>
      <c r="B12" s="3">
        <v>2294</v>
      </c>
      <c r="C12" s="3">
        <v>-62</v>
      </c>
      <c r="D12" s="3">
        <v>2107</v>
      </c>
      <c r="E12" s="3">
        <v>0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6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6" x14ac:dyDescent="0.25">
      <c r="A16" s="2" t="s">
        <v>15</v>
      </c>
      <c r="B16" s="3">
        <v>-7537</v>
      </c>
      <c r="C16" s="3">
        <v>-354</v>
      </c>
      <c r="D16" s="3">
        <v>321</v>
      </c>
      <c r="E16" s="3">
        <v>70</v>
      </c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</row>
    <row r="17" spans="1:16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</row>
    <row r="18" spans="1:16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</row>
    <row r="19" spans="1:16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16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</row>
    <row r="22" spans="1:16" x14ac:dyDescent="0.25">
      <c r="A22" s="2" t="s">
        <v>20</v>
      </c>
      <c r="B22" s="3">
        <v>751</v>
      </c>
      <c r="C22" s="3">
        <v>900</v>
      </c>
      <c r="D22" s="3">
        <v>984</v>
      </c>
      <c r="E22" s="3">
        <v>1622</v>
      </c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</row>
    <row r="23" spans="1:16" x14ac:dyDescent="0.25">
      <c r="A23" s="2" t="s">
        <v>21</v>
      </c>
      <c r="B23" s="3">
        <v>1234</v>
      </c>
      <c r="C23" s="3">
        <v>1002</v>
      </c>
      <c r="D23" s="3">
        <v>3449</v>
      </c>
      <c r="E23" s="3">
        <v>11716</v>
      </c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</row>
    <row r="24" spans="1:16" x14ac:dyDescent="0.25">
      <c r="A24" s="2" t="s">
        <v>22</v>
      </c>
      <c r="B24" s="3">
        <v>-10560</v>
      </c>
      <c r="C24" s="3">
        <v>-20414</v>
      </c>
      <c r="D24" s="3">
        <v>-18473</v>
      </c>
      <c r="E24" s="3">
        <v>-4883</v>
      </c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6" x14ac:dyDescent="0.25">
      <c r="A26" s="2" t="s">
        <v>24</v>
      </c>
      <c r="B26" s="3">
        <v>884</v>
      </c>
      <c r="C26" s="3">
        <v>317</v>
      </c>
      <c r="D26" s="3">
        <v>2121</v>
      </c>
      <c r="E26" s="3">
        <v>6454</v>
      </c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16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16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</row>
    <row r="36" spans="1:16" x14ac:dyDescent="0.25">
      <c r="A36" s="2" t="s">
        <v>32</v>
      </c>
      <c r="B36" s="3">
        <v>0</v>
      </c>
      <c r="C36" s="3">
        <v>3502</v>
      </c>
      <c r="D36" s="3">
        <v>4887</v>
      </c>
      <c r="E36" s="3">
        <v>10678</v>
      </c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</row>
    <row r="37" spans="1:16" x14ac:dyDescent="0.25">
      <c r="A37" s="2" t="s">
        <v>33</v>
      </c>
      <c r="B37" s="3">
        <v>0</v>
      </c>
      <c r="C37" s="3">
        <v>36046</v>
      </c>
      <c r="D37" s="3">
        <v>442356</v>
      </c>
      <c r="E37" s="3">
        <v>373765</v>
      </c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</row>
    <row r="38" spans="1:16" x14ac:dyDescent="0.25">
      <c r="A38" s="2" t="s">
        <v>34</v>
      </c>
      <c r="B38" s="3">
        <v>-7463</v>
      </c>
      <c r="C38" s="3">
        <v>59483</v>
      </c>
      <c r="D38" s="3">
        <v>54531</v>
      </c>
      <c r="E38" s="3">
        <v>72894</v>
      </c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</row>
    <row r="39" spans="1:16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36</v>
      </c>
    </row>
    <row r="3" spans="1:3" x14ac:dyDescent="0.25">
      <c r="A3" t="s">
        <v>37</v>
      </c>
      <c r="B3">
        <f>MATCH("Free Cash Flow to Firm", Financials!A:A, 0)</f>
      </c>
      <c r="C3" t="s">
        <v>38</v>
      </c>
    </row>
    <row r="4" spans="1:2" x14ac:dyDescent="0.25">
      <c r="A4" t="s">
        <v>39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40</v>
      </c>
      <c r="B6" s="4"/>
      <c r="C6" t="s">
        <v>41</v>
      </c>
    </row>
    <row r="7" spans="1:3" x14ac:dyDescent="0.25">
      <c r="A7" s="2" t="s">
        <v>42</v>
      </c>
      <c r="B7" s="4"/>
      <c r="C7" t="s">
        <v>43</v>
      </c>
    </row>
    <row r="8" spans="1:4" x14ac:dyDescent="0.25">
      <c r="A8" s="2" t="s">
        <v>44</v>
      </c>
      <c r="C8" t="s">
        <v>45</v>
      </c>
      <c r="D8" t="s">
        <v>46</v>
      </c>
    </row>
    <row r="9" spans="1:4" x14ac:dyDescent="0.25">
      <c r="A9" s="2" t="s">
        <v>47</v>
      </c>
      <c r="B9" s="4"/>
      <c r="C9" t="s">
        <v>48</v>
      </c>
      <c r="D9" t="s">
        <v>49</v>
      </c>
    </row>
    <row r="10" spans="1:4" x14ac:dyDescent="0.25">
      <c r="A10" s="2" t="s">
        <v>50</v>
      </c>
      <c r="B10" s="4"/>
      <c r="C10" t="s">
        <v>51</v>
      </c>
      <c r="D10" t="s">
        <v>52</v>
      </c>
    </row>
    <row r="11" spans="1:2" x14ac:dyDescent="0.25">
      <c r="A11" s="2" t="s">
        <v>53</v>
      </c>
      <c r="B11" s="4">
        <f>B10+B9*B8</f>
      </c>
    </row>
    <row r="12" spans="1:3" x14ac:dyDescent="0.25">
      <c r="A12" s="2" t="s">
        <v>54</v>
      </c>
      <c r="B12" s="4"/>
      <c r="C12" t="s">
        <v>55</v>
      </c>
    </row>
    <row r="13" spans="1:4" x14ac:dyDescent="0.25">
      <c r="A13" s="2" t="s">
        <v>56</v>
      </c>
      <c r="B13" s="3"/>
      <c r="C13" t="s">
        <v>57</v>
      </c>
      <c r="D13" t="s">
        <v>46</v>
      </c>
    </row>
    <row r="14" spans="1:3" x14ac:dyDescent="0.25">
      <c r="A14" s="2" t="s">
        <v>58</v>
      </c>
      <c r="B14" s="3"/>
      <c r="C14" t="s">
        <v>59</v>
      </c>
    </row>
    <row r="15" spans="1:2" x14ac:dyDescent="0.25">
      <c r="A15" t="s">
        <v>60</v>
      </c>
      <c r="B15" s="4">
        <f>IF(B13+B14&lt;&gt;0,((B13/(B13+B14))*B11)+((B14/(B13+B14))*B12*B7), 0)</f>
      </c>
    </row>
    <row r="16" spans="1:2" x14ac:dyDescent="0.25">
      <c r="A16" t="s">
        <v>61</v>
      </c>
      <c r="B16" s="4">
        <f>IF(B4-NOW()&gt;=0, MIN(YEARFRAC(NOW(),B4),1), 0)</f>
      </c>
    </row>
    <row r="17" spans="1:2" x14ac:dyDescent="0.25">
      <c r="A17" t="s">
        <v>62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63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64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65</v>
      </c>
      <c r="B20" s="3"/>
      <c r="C20" t="s">
        <v>66</v>
      </c>
    </row>
    <row r="21" spans="1:4" x14ac:dyDescent="0.25">
      <c r="A21" s="2" t="s">
        <v>67</v>
      </c>
      <c r="B21" s="3"/>
      <c r="C21" t="s">
        <v>57</v>
      </c>
      <c r="D21" t="s">
        <v>46</v>
      </c>
    </row>
    <row r="22" spans="1:2" x14ac:dyDescent="0.25">
      <c r="A22" t="s">
        <v>68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2023-12-22T01:46:48Z</cp:lastPrinted>
  <dcterms:created xsi:type="dcterms:W3CDTF">2023-12-22T01:46:48Z</dcterms:created>
  <dcterms:modified xsi:type="dcterms:W3CDTF">2023-12-22T01:46:48Z</dcterms:modified>
</cp:coreProperties>
</file>