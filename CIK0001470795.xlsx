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<sst xmlns="http://schemas.openxmlformats.org/spreadsheetml/2006/main" count="72" uniqueCount="69">
  <si>
    <t>(in thousands)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</si>
  <si>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</si>
  <si>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</si>
  <si>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</si>
  <si>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</si>
  <si>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</si>
  <si>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</si>
  <si>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</si>
  <si>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</si>
  <si>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</si>
  <si>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</si>
  <si>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</si>
  <si>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</si>
  <si>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</si>
  <si>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</si>
  <si>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</si>
  <si>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</si>
  <si>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</si>
  <si>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</si>
  <si>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</si>
  <si>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</si>
  <si>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</si>
  <si>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</si>
  <si>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</si>
  <si>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</si>
  <si>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</si>
  <si>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</si>
  <si>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</si>
  <si>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</si>
  <si>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</si>
  <si>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</si>
  <si>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</si>
  <si>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</si>
  <si>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</si>
  <si>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</si>
  <si>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</si>
  <si>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(in nominal terms)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</si>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</sst>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6" x14ac:dyDescent="0.25">
      <c r="A1" s="1" t="s">
        <v>0</v>
      </c>
      <c r="B1" s="2">
        <v>2009</v>
      </c>
      <c r="C1" s="2">
        <v>2010</v>
      </c>
      <c r="D1" s="2">
        <v>2011</v>
      </c>
      <c r="E1" s="2">
        <v>2012</v>
      </c>
      <c r="F1" s="2">
        <v>2013</v>
      </c>
      <c r="G1" s="2">
        <v>2014</v>
      </c>
      <c r="H1" s="2">
        <v>2015</v>
      </c>
      <c r="I1" s="2">
        <v>2016</v>
      </c>
      <c r="J1" s="2">
        <v>2017</v>
      </c>
      <c r="K1" s="2">
        <v>2018</v>
      </c>
      <c r="L1" s="2">
        <v>2019</v>
      </c>
      <c r="M1" s="2">
        <v>2020</v>
      </c>
      <c r="N1" s="2">
        <v>2021</v>
      </c>
      <c r="O1" s="2">
        <v>2022</v>
      </c>
      <c r="P1" s="2">
        <v>2023</v>
      </c>
      <c r="Q1" s="2">
        <v>2024</v>
      </c>
      <c r="R1" s="2">
        <v>2025</v>
      </c>
      <c r="S1" s="2">
        <v>2026</v>
      </c>
      <c r="T1" s="2">
        <v>2027</v>
      </c>
      <c r="U1" s="2">
        <v>2028</v>
      </c>
      <c r="V1" s="2">
        <v>2029</v>
      </c>
      <c r="W1" s="2">
        <v>2030</v>
      </c>
      <c r="X1" s="2">
        <v>2031</v>
      </c>
      <c r="Y1" s="2">
        <v>2032</v>
      </c>
      <c r="Z1" s="2">
        <v>2033</v>
      </c>
    </row>
    <row r="2" spans="1:26" x14ac:dyDescent="0.25">
      <c r="A2" s="2" t="s">
        <v>1</v>
      </c>
      <c r="B2" s="3">
        <v>11263</v>
      </c>
      <c r="C2" s="3">
        <v>13699</v>
      </c>
      <c r="D2" s="3">
        <v>3935</v>
      </c>
      <c r="E2" s="3">
        <v>4257</v>
      </c>
      <c r="F2" s="3">
        <v>3317</v>
      </c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spans="1:26" x14ac:dyDescent="0.25">
      <c r="A3" s="2" t="s">
        <v>2</v>
      </c>
      <c r="B3" s="3">
        <v>0</v>
      </c>
      <c r="C3" s="3">
        <v>0</v>
      </c>
      <c r="D3" s="3">
        <v>0</v>
      </c>
      <c r="E3" s="3">
        <v>0</v>
      </c>
      <c r="F3" s="3">
        <v>0</v>
      </c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 s="3">
        <f>Z2-Z3</f>
      </c>
    </row>
    <row r="5" spans="1:26" x14ac:dyDescent="0.25">
      <c r="A5" s="2" t="s">
        <v>4</v>
      </c>
      <c r="B5" s="3">
        <v>0</v>
      </c>
      <c r="C5" s="3">
        <v>0</v>
      </c>
      <c r="D5" s="3">
        <v>0</v>
      </c>
      <c r="E5" s="3">
        <v>0</v>
      </c>
      <c r="F5" s="3">
        <v>0</v>
      </c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spans="1:26" x14ac:dyDescent="0.25">
      <c r="A6" s="2" t="s">
        <v>5</v>
      </c>
      <c r="B6" s="3">
        <v>28864</v>
      </c>
      <c r="C6" s="3">
        <v>34553</v>
      </c>
      <c r="D6" s="3">
        <v>34529</v>
      </c>
      <c r="E6" s="3">
        <v>36704</v>
      </c>
      <c r="F6" s="3">
        <v>38008</v>
      </c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spans="1:26" x14ac:dyDescent="0.25">
      <c r="A7" s="2" t="s">
        <v>6</v>
      </c>
      <c r="B7" s="3">
        <v>14893</v>
      </c>
      <c r="C7" s="3">
        <v>9448</v>
      </c>
      <c r="D7" s="3">
        <v>-24282</v>
      </c>
      <c r="E7" s="3">
        <v>-24975</v>
      </c>
      <c r="F7" s="3">
        <v>-26946</v>
      </c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 s="3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 s="3">
        <f>Z4-Z8</f>
      </c>
    </row>
    <row r="10" spans="1:26" x14ac:dyDescent="0.25">
      <c r="A10" s="2" t="s">
        <v>9</v>
      </c>
      <c r="B10" s="3">
        <v>53715</v>
      </c>
      <c r="C10" s="3">
        <v>52847</v>
      </c>
      <c r="D10" s="3">
        <v>13111</v>
      </c>
      <c r="E10" s="3">
        <v>11558</v>
      </c>
      <c r="F10" s="3">
        <v>12389</v>
      </c>
      <c r="G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6" x14ac:dyDescent="0.25">
      <c r="A11" s="2" t="s">
        <v>10</v>
      </c>
      <c r="B11" s="3">
        <v>19674</v>
      </c>
      <c r="C11" s="3">
        <v>13903</v>
      </c>
      <c r="D11" s="3">
        <v>3208</v>
      </c>
      <c r="E11" s="3">
        <v>2232</v>
      </c>
      <c r="F11" s="3">
        <v>1779</v>
      </c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spans="1:26" x14ac:dyDescent="0.25">
      <c r="A12" s="2" t="s">
        <v>11</v>
      </c>
      <c r="B12" s="3">
        <v>-5200</v>
      </c>
      <c r="C12" s="3">
        <v>0</v>
      </c>
      <c r="D12" s="3">
        <v>1550</v>
      </c>
      <c r="E12" s="3">
        <v>1950</v>
      </c>
      <c r="F12" s="3">
        <v>1800</v>
      </c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 s="3">
        <f>Y10-Y11+Y12</f>
      </c>
      <c r="Z13" s="3">
        <f>Z10-Z11+Z12</f>
      </c>
    </row>
    <row r="14" spans="1:26" x14ac:dyDescent="0.25">
      <c r="A14" s="2" t="s">
        <v>13</v>
      </c>
      <c r="B14" s="3">
        <v>-5200</v>
      </c>
      <c r="C14" s="3">
        <v>6700</v>
      </c>
      <c r="D14" s="3">
        <v>3230</v>
      </c>
      <c r="E14" s="3">
        <v>1950</v>
      </c>
      <c r="F14" s="3">
        <v>2250</v>
      </c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 s="3">
        <f>Y9+Y13-Y14</f>
      </c>
      <c r="Z15" s="3">
        <f>Z9+Z13-Z14</f>
      </c>
    </row>
    <row r="16" spans="1:26" x14ac:dyDescent="0.25">
      <c r="A16" s="2" t="s">
        <v>15</v>
      </c>
      <c r="B16" s="3">
        <v>892</v>
      </c>
      <c r="C16" s="3">
        <v>285</v>
      </c>
      <c r="D16" s="3">
        <v>713</v>
      </c>
      <c r="E16" s="3">
        <v>695</v>
      </c>
      <c r="F16" s="3">
        <v>791</v>
      </c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spans="1:26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>
        <v>0</v>
      </c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spans="1:26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>
        <v>0</v>
      </c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spans="1:26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 s="3">
        <f>Y15-Y16+Y17-Y18+Y19</f>
      </c>
      <c r="Z20" s="3">
        <f>Z15-Z16+Z17-Z18+Z19</f>
      </c>
    </row>
    <row r="21" spans="1:26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spans="1:26" x14ac:dyDescent="0.25">
      <c r="A22" s="2" t="s">
        <v>20</v>
      </c>
      <c r="B22" s="3">
        <v>0</v>
      </c>
      <c r="C22" s="3">
        <v>4813</v>
      </c>
      <c r="D22" s="3">
        <v>4236</v>
      </c>
      <c r="E22" s="3">
        <v>3453</v>
      </c>
      <c r="F22" s="3">
        <v>3315</v>
      </c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spans="1:26" x14ac:dyDescent="0.25">
      <c r="A23" s="2" t="s">
        <v>21</v>
      </c>
      <c r="B23" s="3">
        <v>0</v>
      </c>
      <c r="C23" s="3">
        <v>0</v>
      </c>
      <c r="D23" s="3">
        <v>308</v>
      </c>
      <c r="E23" s="3">
        <v>1331</v>
      </c>
      <c r="F23" s="3">
        <v>1827</v>
      </c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spans="1:26" x14ac:dyDescent="0.25">
      <c r="A24" s="2" t="s">
        <v>22</v>
      </c>
      <c r="B24" s="3">
        <v>-4291</v>
      </c>
      <c r="C24" s="3">
        <v>13925</v>
      </c>
      <c r="D24" s="3">
        <v>11092</v>
      </c>
      <c r="E24" s="3">
        <v>5222</v>
      </c>
      <c r="F24" s="3">
        <v>18061</v>
      </c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 s="3">
        <f>Y20+Y22+Y23+Y24</f>
      </c>
      <c r="Z25" s="3">
        <f>Z20+Z22+Z23+Z24</f>
      </c>
    </row>
    <row r="26" spans="1:26" x14ac:dyDescent="0.25">
      <c r="A26" s="2" t="s">
        <v>24</v>
      </c>
      <c r="B26" s="3">
        <v>2095</v>
      </c>
      <c r="C26" s="3">
        <v>1528</v>
      </c>
      <c r="D26" s="3">
        <v>1549</v>
      </c>
      <c r="E26" s="3">
        <v>1667</v>
      </c>
      <c r="F26" s="3">
        <v>2082</v>
      </c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 s="3">
        <f>Y25-Y26</f>
      </c>
      <c r="Z27" s="3">
        <f>Z25-Z26</f>
      </c>
    </row>
    <row r="28" spans="1:26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 s="4">
        <f>IF(AND(COUNT(X2,Y2)=2, Y2&lt;&gt;0, X2&lt;&gt;0), Y2/X2-1, " ")</f>
      </c>
      <c r="Z29" s="4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 s="4">
        <f>IF(AND(COUNT(Y2,Y4)=2, Y2&lt;&gt;0), Y4/Y2, " ")</f>
      </c>
      <c r="Z30" s="4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 s="4">
        <f>IF(AND(COUNT(Y2,Y9)=2, Y2&lt;&gt;0), Y9/Y2, " ")</f>
      </c>
      <c r="Z31" s="4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 s="4">
        <f>IF(AND(COUNT(Y15,Y15)=2, Y15&lt;&gt;0), Y16/Y15, " ")</f>
      </c>
      <c r="Z32" s="4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 s="4">
        <f>IF(AND(COUNT(Y20,Y2)=2, Y2&lt;&gt;0), Y20/Y2, " ")</f>
      </c>
      <c r="Z33" s="4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 s="4">
        <f>IF(AND(COUNT(X27,Y27)=2, Y27&lt;&gt;0, X2&lt;&gt;0), Y27/X27-1, " ")</f>
      </c>
      <c r="Z34" s="4">
        <f>IF(AND(COUNT(Y27,Z27)=2, Z27&lt;&gt;0, Y2&lt;&gt;0), Z27/Y27-1, " ")</f>
      </c>
    </row>
    <row r="35" spans="1:26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spans="1:26" x14ac:dyDescent="0.25">
      <c r="A36" s="2" t="s">
        <v>32</v>
      </c>
      <c r="B36" s="3">
        <v>0</v>
      </c>
      <c r="C36" s="3">
        <v>47665</v>
      </c>
      <c r="D36" s="3">
        <v>44943</v>
      </c>
      <c r="E36" s="3">
        <v>43126</v>
      </c>
      <c r="F36" s="3">
        <v>41512</v>
      </c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spans="1:26" x14ac:dyDescent="0.25">
      <c r="A37" s="2" t="s">
        <v>33</v>
      </c>
      <c r="B37" s="3">
        <v>0</v>
      </c>
      <c r="C37" s="3">
        <v>1108419</v>
      </c>
      <c r="D37" s="3">
        <v>1336714</v>
      </c>
      <c r="E37" s="3">
        <v>1257349</v>
      </c>
      <c r="F37" s="3">
        <v>1391313</v>
      </c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spans="1:26" x14ac:dyDescent="0.25">
      <c r="A38" s="2" t="s">
        <v>34</v>
      </c>
      <c r="B38" s="3">
        <v>-91156</v>
      </c>
      <c r="C38" s="3">
        <v>909792</v>
      </c>
      <c r="D38" s="3">
        <v>1137690</v>
      </c>
      <c r="E38" s="3">
        <v>1051771</v>
      </c>
      <c r="F38" s="3">
        <v>1184171</v>
      </c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spans="1:26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36</v>
      </c>
    </row>
    <row r="3" spans="1:3" x14ac:dyDescent="0.25">
      <c r="A3" t="s">
        <v>37</v>
      </c>
      <c r="B3">
        <f>MATCH("Free Cash Flow to Firm", Financials!A:A, 0)</f>
      </c>
      <c r="C3" t="s">
        <v>38</v>
      </c>
    </row>
    <row r="4" spans="1:2" x14ac:dyDescent="0.25">
      <c r="A4" t="s">
        <v>39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40</v>
      </c>
      <c r="B6" s="4"/>
      <c r="C6" t="s">
        <v>41</v>
      </c>
    </row>
    <row r="7" spans="1:3" x14ac:dyDescent="0.25">
      <c r="A7" s="2" t="s">
        <v>42</v>
      </c>
      <c r="B7" s="4"/>
      <c r="C7" t="s">
        <v>43</v>
      </c>
    </row>
    <row r="8" spans="1:4" x14ac:dyDescent="0.25">
      <c r="A8" s="2" t="s">
        <v>44</v>
      </c>
      <c r="C8" t="s">
        <v>45</v>
      </c>
      <c r="D8" t="s">
        <v>46</v>
      </c>
    </row>
    <row r="9" spans="1:4" x14ac:dyDescent="0.25">
      <c r="A9" s="2" t="s">
        <v>47</v>
      </c>
      <c r="B9" s="4"/>
      <c r="C9" t="s">
        <v>48</v>
      </c>
      <c r="D9" t="s">
        <v>49</v>
      </c>
    </row>
    <row r="10" spans="1:4" x14ac:dyDescent="0.25">
      <c r="A10" s="2" t="s">
        <v>50</v>
      </c>
      <c r="B10" s="4"/>
      <c r="C10" t="s">
        <v>51</v>
      </c>
      <c r="D10" t="s">
        <v>52</v>
      </c>
    </row>
    <row r="11" spans="1:2" x14ac:dyDescent="0.25">
      <c r="A11" s="2" t="s">
        <v>53</v>
      </c>
      <c r="B11" s="4">
        <f>B10+B9*B8</f>
      </c>
    </row>
    <row r="12" spans="1:3" x14ac:dyDescent="0.25">
      <c r="A12" s="2" t="s">
        <v>54</v>
      </c>
      <c r="B12" s="4"/>
      <c r="C12" t="s">
        <v>55</v>
      </c>
    </row>
    <row r="13" spans="1:4" x14ac:dyDescent="0.25">
      <c r="A13" s="2" t="s">
        <v>56</v>
      </c>
      <c r="B13" s="3"/>
      <c r="C13" t="s">
        <v>57</v>
      </c>
      <c r="D13" t="s">
        <v>46</v>
      </c>
    </row>
    <row r="14" spans="1:3" x14ac:dyDescent="0.25">
      <c r="A14" s="2" t="s">
        <v>58</v>
      </c>
      <c r="B14" s="3"/>
      <c r="C14" t="s">
        <v>59</v>
      </c>
    </row>
    <row r="15" spans="1:2" x14ac:dyDescent="0.25">
      <c r="A15" t="s">
        <v>60</v>
      </c>
      <c r="B15" s="4">
        <f>IF(B13+B14&lt;&gt;0,((B13/(B13+B14))*B11)+((B14/(B13+B14))*B12*B7), 0)</f>
      </c>
    </row>
    <row r="16" spans="1:2" x14ac:dyDescent="0.25">
      <c r="A16" t="s">
        <v>61</v>
      </c>
      <c r="B16" s="4">
        <f>IF(B4-NOW()&gt;=0, MIN(YEARFRAC(NOW(),B4),1), 0)</f>
      </c>
    </row>
    <row r="17" spans="1:2" x14ac:dyDescent="0.25">
      <c r="A17" t="s">
        <v>62</v>
      </c>
      <c r="B17" s="3">
        <f>INDIRECT(CONCATENATE("Financials!", ADDRESS(B3, LOOKUP(2,1/(Financials!1:1=YEAR(TODAY())),COLUMN(Financials!1:1)))))*B16*1000</f>
      </c>
    </row>
    <row r="18" spans="1:2" x14ac:dyDescent="0.25">
      <c r="A18" t="s">
        <v>63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64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NOW())*1000,  " ")</f>
      </c>
    </row>
    <row r="20" spans="1:3" x14ac:dyDescent="0.25">
      <c r="A20" s="6" t="s">
        <v>65</v>
      </c>
      <c r="B20" s="3"/>
      <c r="C20" t="s">
        <v>66</v>
      </c>
    </row>
    <row r="21" spans="1:4" x14ac:dyDescent="0.25">
      <c r="A21" s="2" t="s">
        <v>67</v>
      </c>
      <c r="B21" s="3"/>
      <c r="C21" t="s">
        <v>57</v>
      </c>
      <c r="D21" t="s">
        <v>46</v>
      </c>
    </row>
    <row r="22" spans="1:2" x14ac:dyDescent="0.25">
      <c r="A22" t="s">
        <v>68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2023-12-22T01:45:57Z</cp:lastPrinted>
  <dcterms:created xsi:type="dcterms:W3CDTF">2023-12-22T01:45:57Z</dcterms:created>
  <dcterms:modified xsi:type="dcterms:W3CDTF">2023-12-22T01:45:57Z</dcterms:modified>
</cp:coreProperties>
</file>