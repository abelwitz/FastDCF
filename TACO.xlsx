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<sst xmlns="http://schemas.openxmlformats.org/spreadsheetml/2006/main" count="72" uniqueCount="68">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</sst>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CO" TargetMode="External"/><Relationship Id="rId5" Type="http://schemas.openxmlformats.org/officeDocument/2006/relationships/hyperlink" Target="https://finance.yahoo.com/quote/TA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125030000</v>
      </c>
      <c r="E2" s="3">
        <v>163967000</v>
      </c>
      <c r="F2" s="3">
        <v>491883000</v>
      </c>
      <c r="G2" s="3">
        <v>527355000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117124</v>
      </c>
      <c r="C6" s="3">
        <v>861678</v>
      </c>
      <c r="D6" s="3">
        <v>38154000</v>
      </c>
      <c r="E6" s="3">
        <v>43877000</v>
      </c>
      <c r="F6" s="3">
        <v>43996000</v>
      </c>
      <c r="G6" s="3">
        <v>51670000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536218</v>
      </c>
      <c r="D7" s="3">
        <v>82426000</v>
      </c>
      <c r="E7" s="3">
        <v>208875000</v>
      </c>
      <c r="F7" s="3">
        <v>530065000</v>
      </c>
      <c r="G7" s="3">
        <v>460744000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10215</v>
      </c>
      <c r="C10" s="3">
        <v>-118000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-7200000</v>
      </c>
      <c r="H10" s="3">
        <v>-6871000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7200000</v>
      </c>
      <c r="E11" s="3">
        <v>7235000</v>
      </c>
      <c r="F11" s="3">
        <v>4811000</v>
      </c>
      <c r="G11" s="3">
        <v>2893000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-6871000</v>
      </c>
      <c r="F12" s="3">
        <v>-4811000</v>
      </c>
      <c r="G12" s="3">
        <v>-3842000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12482</v>
      </c>
      <c r="C16" s="3">
        <v>8973</v>
      </c>
      <c r="D16" s="3">
        <v>-15824000</v>
      </c>
      <c r="E16" s="3">
        <v>4371000</v>
      </c>
      <c r="F16" s="3">
        <v>-2062000</v>
      </c>
      <c r="G16" s="3">
        <v>2485000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23362000</v>
      </c>
      <c r="E22" s="3">
        <v>25488000</v>
      </c>
      <c r="F22" s="3">
        <v>26599000</v>
      </c>
      <c r="G22" s="3">
        <v>26203000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4876000</v>
      </c>
      <c r="E23" s="3">
        <v>6293000</v>
      </c>
      <c r="F23" s="3">
        <v>5652000</v>
      </c>
      <c r="G23" s="3">
        <v>6461000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119391</v>
      </c>
      <c r="C24" s="3">
        <v>1524869</v>
      </c>
      <c r="D24" s="3">
        <v>23676000</v>
      </c>
      <c r="E24" s="3">
        <v>131397000</v>
      </c>
      <c r="F24" s="3">
        <v>117250000</v>
      </c>
      <c r="G24" s="3">
        <v>7579000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50627000</v>
      </c>
      <c r="E26" s="3">
        <v>43696000</v>
      </c>
      <c r="F26" s="3">
        <v>22019000</v>
      </c>
      <c r="G26" s="3">
        <v>23257000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156921000</v>
      </c>
      <c r="F36" s="3">
        <v>146706000</v>
      </c>
      <c r="G36" s="3">
        <v>145338000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151282721</v>
      </c>
      <c r="C37" s="3">
        <v>150347107</v>
      </c>
      <c r="D37" s="3">
        <v>0</v>
      </c>
      <c r="E37" s="3">
        <v>862457000</v>
      </c>
      <c r="F37" s="3">
        <v>747309000</v>
      </c>
      <c r="G37" s="3">
        <v>727856000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146282711</v>
      </c>
      <c r="C38" s="3">
        <v>145347097</v>
      </c>
      <c r="D38" s="3">
        <v>-416249000</v>
      </c>
      <c r="E38" s="3">
        <v>560350000</v>
      </c>
      <c r="F38" s="3">
        <v>534555000</v>
      </c>
      <c r="G38" s="3">
        <v>518136000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G37-G38</f>
      </c>
      <c r="E39" s="3">
        <f>H37-H38</f>
      </c>
      <c r="F39" s="3">
        <f>I37-I38</f>
      </c>
      <c r="G39" s="3">
        <f>J37-J38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