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<sst xmlns="http://schemas.openxmlformats.org/spreadsheetml/2006/main" count="74" uniqueCount="71">
  <si>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</si>
  <si>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</si>
  <si>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</si>
  <si>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</si>
  <si>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</si>
  <si>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</si>
  <si>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</si>
  <si>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</si>
  <si>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</si>
  <si>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</si>
  <si>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</si>
  <si>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</si>
  <si>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</si>
  <si>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</si>
  <si>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</si>
  <si>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</si>
  <si>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</si>
  <si>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</si>
  <si>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</si>
  <si>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</si>
  <si>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</si>
  <si>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</si>
  <si>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</si>
  <si>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</si>
  <si>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</si>
  <si>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</si>
  <si>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</si>
  <si>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</si>
  <si>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</si>
  <si>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</si>
  <si>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</si>
  <si>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</si>
  <si>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</si>
  <si>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</si>
  <si>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</si>
  <si>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</si>
  <si>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</si>
  <si>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</si>
  <si>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</si>
  <si>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</si>
  <si>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</si>
  <si>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</si>
  <si>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</si>
  <si>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</si>
  <si>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</si>
  <si>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</si>
  <si>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</si>
  <si>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</si>
  <si>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https://finance.yahoo.com/quote/PCTY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</si>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</sst>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CTY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CTY" TargetMode="External"/><Relationship Id="rId5" Type="http://schemas.openxmlformats.org/officeDocument/2006/relationships/hyperlink" Target="https://finance.yahoo.com/quote/PCT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55096</v>
      </c>
      <c r="C2" s="3">
        <v>77294</v>
      </c>
      <c r="D2" s="3">
        <v>108687</v>
      </c>
      <c r="E2" s="3">
        <v>152698</v>
      </c>
      <c r="F2" s="3">
        <v>230701</v>
      </c>
      <c r="G2" s="3">
        <v>300010</v>
      </c>
      <c r="H2" s="3">
        <v>377527</v>
      </c>
      <c r="I2" s="3">
        <v>467633</v>
      </c>
      <c r="J2" s="3">
        <v>561329</v>
      </c>
      <c r="K2" s="3">
        <v>635627</v>
      </c>
      <c r="L2" s="3">
        <v>852651</v>
      </c>
      <c r="M2" s="3">
        <v>1174598</v>
      </c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29094</v>
      </c>
      <c r="C3" s="3">
        <v>39666</v>
      </c>
      <c r="D3" s="3">
        <v>55094</v>
      </c>
      <c r="E3" s="3">
        <v>70896</v>
      </c>
      <c r="F3" s="3">
        <v>98085</v>
      </c>
      <c r="G3" s="3">
        <v>123987</v>
      </c>
      <c r="H3" s="3">
        <v>149197</v>
      </c>
      <c r="I3" s="3">
        <v>153851</v>
      </c>
      <c r="J3" s="3">
        <v>182010</v>
      </c>
      <c r="K3" s="3">
        <v>219298</v>
      </c>
      <c r="L3" s="3">
        <v>287002</v>
      </c>
      <c r="M3" s="3">
        <v>367039</v>
      </c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1788</v>
      </c>
      <c r="C5" s="3">
        <v>6825</v>
      </c>
      <c r="D5" s="3">
        <v>10355</v>
      </c>
      <c r="E5" s="3">
        <v>19864</v>
      </c>
      <c r="F5" s="3">
        <v>26736</v>
      </c>
      <c r="G5" s="3">
        <v>29098</v>
      </c>
      <c r="H5" s="3">
        <v>37645</v>
      </c>
      <c r="I5" s="3">
        <v>50329</v>
      </c>
      <c r="J5" s="3">
        <v>62766</v>
      </c>
      <c r="K5" s="3">
        <v>76707</v>
      </c>
      <c r="L5" s="3">
        <v>102908</v>
      </c>
      <c r="M5" s="3">
        <v>163994</v>
      </c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21446</v>
      </c>
      <c r="C6" s="3">
        <v>30772</v>
      </c>
      <c r="D6" s="3">
        <v>50256</v>
      </c>
      <c r="E6" s="3">
        <v>75859</v>
      </c>
      <c r="F6" s="3">
        <v>109430</v>
      </c>
      <c r="G6" s="3">
        <v>139629</v>
      </c>
      <c r="H6" s="3">
        <v>174736</v>
      </c>
      <c r="I6" s="3">
        <v>207229</v>
      </c>
      <c r="J6" s="3">
        <v>250382</v>
      </c>
      <c r="K6" s="3">
        <v>281579</v>
      </c>
      <c r="L6" s="3">
        <v>378147</v>
      </c>
      <c r="M6" s="3">
        <v>488539</v>
      </c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3" x14ac:dyDescent="0.25">
      <c r="A13" s="2" t="s">
        <v>12</v>
      </c>
      <c r="B13" s="3">
        <v>-196</v>
      </c>
      <c r="C13" s="3">
        <v>-16</v>
      </c>
      <c r="D13" s="3">
        <v>163</v>
      </c>
      <c r="E13" s="3">
        <v>54</v>
      </c>
      <c r="F13" s="3">
        <v>-124</v>
      </c>
      <c r="G13" s="3">
        <v>73</v>
      </c>
      <c r="H13" s="3">
        <v>802</v>
      </c>
      <c r="I13" s="3">
        <v>1822</v>
      </c>
      <c r="J13" s="3">
        <v>947</v>
      </c>
      <c r="K13" s="3">
        <v>-939</v>
      </c>
      <c r="L13" s="3">
        <v>-997</v>
      </c>
      <c r="M13" s="3">
        <v>3588</v>
      </c>
      <c r="N13" s="3"/>
      <c r="O13" s="3"/>
      <c r="P13" s="3"/>
      <c r="Q13" s="3"/>
      <c r="R13" s="3"/>
      <c r="S13" s="3"/>
      <c r="T13" s="3"/>
      <c r="U13" s="3"/>
      <c r="V13" s="3"/>
      <c r="W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>
        <f>X12+X13</f>
      </c>
      <c r="Y14">
        <f>Y12+Y13</f>
      </c>
      <c r="Z14">
        <f>Z12+Z13</f>
      </c>
    </row>
    <row r="15" spans="1:23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>
        <f>X9+X14-X15</f>
      </c>
      <c r="Y16">
        <f>Y9+Y14-Y15</f>
      </c>
      <c r="Z16">
        <f>Z9+Z14-Z15</f>
      </c>
    </row>
    <row r="17" spans="1:23" x14ac:dyDescent="0.25">
      <c r="A17" s="2" t="s">
        <v>16</v>
      </c>
      <c r="B17" s="3">
        <v>884</v>
      </c>
      <c r="C17" s="3">
        <v>-602</v>
      </c>
      <c r="D17" s="3">
        <v>255</v>
      </c>
      <c r="E17" s="3">
        <v>105</v>
      </c>
      <c r="F17" s="3">
        <v>177</v>
      </c>
      <c r="G17" s="3">
        <v>651</v>
      </c>
      <c r="H17" s="3">
        <v>-21847</v>
      </c>
      <c r="I17" s="3">
        <v>4223</v>
      </c>
      <c r="J17" s="3">
        <v>2663</v>
      </c>
      <c r="K17" s="3">
        <v>-13715</v>
      </c>
      <c r="L17" s="3">
        <v>-7180</v>
      </c>
      <c r="M17" s="3">
        <v>17792</v>
      </c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3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/>
      <c r="O20" s="3"/>
      <c r="P20" s="3"/>
      <c r="Q20" s="3"/>
      <c r="R20" s="3"/>
      <c r="S20" s="3"/>
      <c r="T20" s="3"/>
      <c r="U20" s="3"/>
      <c r="V20" s="3"/>
      <c r="W20" s="3"/>
    </row>
    <row r="21" spans="1:23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3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4624</v>
      </c>
      <c r="C24" s="3">
        <v>5571</v>
      </c>
      <c r="D24" s="3">
        <v>6336</v>
      </c>
      <c r="E24" s="3">
        <v>8609</v>
      </c>
      <c r="F24" s="3">
        <v>13873</v>
      </c>
      <c r="G24" s="3">
        <v>21027</v>
      </c>
      <c r="H24" s="3">
        <v>30202</v>
      </c>
      <c r="I24" s="3">
        <v>34564</v>
      </c>
      <c r="J24" s="3">
        <v>37913</v>
      </c>
      <c r="K24" s="3">
        <v>42972</v>
      </c>
      <c r="L24" s="3">
        <v>50218</v>
      </c>
      <c r="M24" s="3">
        <v>60866</v>
      </c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3" x14ac:dyDescent="0.25">
      <c r="A25" s="2" t="s">
        <v>23</v>
      </c>
      <c r="B25" s="3">
        <v>203</v>
      </c>
      <c r="C25" s="3">
        <v>523</v>
      </c>
      <c r="D25" s="3">
        <v>4929</v>
      </c>
      <c r="E25" s="3">
        <v>13169</v>
      </c>
      <c r="F25" s="3">
        <v>17563</v>
      </c>
      <c r="G25" s="3">
        <v>26734</v>
      </c>
      <c r="H25" s="3">
        <v>30354</v>
      </c>
      <c r="I25" s="3">
        <v>38765</v>
      </c>
      <c r="J25" s="3">
        <v>47493</v>
      </c>
      <c r="K25" s="3">
        <v>63052</v>
      </c>
      <c r="L25" s="3">
        <v>96202</v>
      </c>
      <c r="M25" s="3">
        <v>147300</v>
      </c>
      <c r="N25" s="3"/>
      <c r="O25" s="3"/>
      <c r="P25" s="3"/>
      <c r="Q25" s="3"/>
      <c r="R25" s="3"/>
      <c r="S25" s="3"/>
      <c r="T25" s="3"/>
      <c r="U25" s="3"/>
      <c r="V25" s="3"/>
      <c r="W25" s="3"/>
    </row>
    <row r="26" spans="1:23" x14ac:dyDescent="0.25">
      <c r="A26" s="2" t="s">
        <v>24</v>
      </c>
      <c r="B26" s="3">
        <v>-6515</v>
      </c>
      <c r="C26" s="3">
        <v>-6711</v>
      </c>
      <c r="D26" s="3">
        <v>-4155</v>
      </c>
      <c r="E26" s="3">
        <v>3299</v>
      </c>
      <c r="F26" s="3">
        <v>5408</v>
      </c>
      <c r="G26" s="3">
        <v>7501</v>
      </c>
      <c r="H26" s="3">
        <v>-1288</v>
      </c>
      <c r="I26" s="3">
        <v>-12120</v>
      </c>
      <c r="J26" s="3">
        <v>-37206</v>
      </c>
      <c r="K26" s="3">
        <v>-51993</v>
      </c>
      <c r="L26" s="3">
        <v>-82144</v>
      </c>
      <c r="M26" s="3">
        <v>-66265</v>
      </c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>
        <f>X22+X24+X25+X26</f>
      </c>
      <c r="Y27">
        <f>Y22+Y24+Y25+Y26</f>
      </c>
      <c r="Z27">
        <f>Z22+Z24+Z25+Z26</f>
      </c>
    </row>
    <row r="28" spans="1:23" x14ac:dyDescent="0.25">
      <c r="A28" s="2" t="s">
        <v>26</v>
      </c>
      <c r="B28" s="3">
        <v>3446</v>
      </c>
      <c r="C28" s="3">
        <v>3987</v>
      </c>
      <c r="D28" s="3">
        <v>6667</v>
      </c>
      <c r="E28" s="3">
        <v>9020</v>
      </c>
      <c r="F28" s="3">
        <v>16083</v>
      </c>
      <c r="G28" s="3">
        <v>21338</v>
      </c>
      <c r="H28" s="3">
        <v>21676</v>
      </c>
      <c r="I28" s="3">
        <v>11280</v>
      </c>
      <c r="J28" s="3">
        <v>16578</v>
      </c>
      <c r="K28" s="3">
        <v>9461</v>
      </c>
      <c r="L28" s="3">
        <v>18069</v>
      </c>
      <c r="M28" s="3">
        <v>21910</v>
      </c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>
        <f>X27-X28</f>
      </c>
      <c r="Y29">
        <f>Y27-Y28</f>
      </c>
      <c r="Z29">
        <f>Z27-Z28</f>
      </c>
    </row>
    <row r="30" spans="1:23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3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0</v>
      </c>
      <c r="C38" s="3">
        <v>8586</v>
      </c>
      <c r="D38" s="3">
        <v>13125</v>
      </c>
      <c r="E38" s="3">
        <v>16061</v>
      </c>
      <c r="F38" s="3">
        <v>26787</v>
      </c>
      <c r="G38" s="3">
        <v>40756</v>
      </c>
      <c r="H38" s="3">
        <v>62029</v>
      </c>
      <c r="I38" s="3">
        <v>70056</v>
      </c>
      <c r="J38" s="3">
        <v>66737</v>
      </c>
      <c r="K38" s="3">
        <v>59835</v>
      </c>
      <c r="L38" s="3">
        <v>62839</v>
      </c>
      <c r="M38" s="3">
        <v>64069</v>
      </c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v>0</v>
      </c>
      <c r="C39" s="3">
        <v>377916</v>
      </c>
      <c r="D39" s="3">
        <v>528151</v>
      </c>
      <c r="E39" s="3">
        <v>720548</v>
      </c>
      <c r="F39" s="3">
        <v>1390689</v>
      </c>
      <c r="G39" s="3">
        <v>1137441</v>
      </c>
      <c r="H39" s="3">
        <v>1507599</v>
      </c>
      <c r="I39" s="3">
        <v>1803941</v>
      </c>
      <c r="J39" s="3">
        <v>1985648</v>
      </c>
      <c r="K39" s="3">
        <v>2414885</v>
      </c>
      <c r="L39" s="3">
        <v>4809014</v>
      </c>
      <c r="M39" s="3">
        <v>3695680</v>
      </c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1:23" x14ac:dyDescent="0.25">
      <c r="A40" s="2" t="s">
        <v>36</v>
      </c>
      <c r="B40" s="3">
        <v>27646</v>
      </c>
      <c r="C40" s="3">
        <v>404508</v>
      </c>
      <c r="D40" s="3">
        <v>437017</v>
      </c>
      <c r="E40" s="3">
        <v>612968</v>
      </c>
      <c r="F40" s="3">
        <v>1271117</v>
      </c>
      <c r="G40" s="3">
        <v>989828</v>
      </c>
      <c r="H40" s="3">
        <v>1294775</v>
      </c>
      <c r="I40" s="3">
        <v>1495977</v>
      </c>
      <c r="J40" s="3">
        <v>1592740</v>
      </c>
      <c r="K40" s="3">
        <v>1937955</v>
      </c>
      <c r="L40" s="3">
        <v>4195551</v>
      </c>
      <c r="M40" s="3">
        <v>2852817</v>
      </c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1:23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>
        <f>M39-M40</f>
      </c>
      <c r="N41" s="3"/>
      <c r="O41" s="3"/>
      <c r="P41" s="3"/>
      <c r="Q41" s="3"/>
      <c r="R41" s="3"/>
      <c r="S41" s="3"/>
      <c r="T41" s="3"/>
      <c r="U41" s="3"/>
      <c r="V41" s="3"/>
      <c r="W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6, 30)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2023-12-24T11:02:22Z</cp:lastPrinted>
  <dcterms:created xsi:type="dcterms:W3CDTF">2023-12-24T11:02:22Z</dcterms:created>
  <dcterms:modified xsi:type="dcterms:W3CDTF">2023-12-24T11:02:22Z</dcterms:modified>
</cp:coreProperties>
</file>