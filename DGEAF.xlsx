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<sst xmlns="http://schemas.openxmlformats.org/spreadsheetml/2006/main" count="72" uniqueCount="68">
  <si>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</si>
  <si>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</si>
  <si>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</si>
  <si>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</si>
  <si>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</si>
  <si>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</si>
  <si>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</si>
  <si>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</si>
  <si>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</si>
  <si>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</si>
  <si>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</si>
  <si>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</si>
  <si>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</si>
  <si>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</si>
  <si>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</si>
  <si>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</si>
  <si>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</si>
  <si>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</si>
  <si>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</si>
  <si>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</si>
  <si>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</si>
  <si>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</si>
  <si>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</si>
  <si>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</si>
  <si>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</si>
  <si>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</si>
  <si>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</si>
  <si>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</si>
  <si>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</si>
  <si>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</si>
  <si>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</si>
  <si>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</si>
  <si>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</si>
  <si>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</si>
  <si>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</si>
  <si>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</si>
  <si>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</si>
  <si>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</si>
  <si>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</si>
  <si>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</si>
  <si>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</si>
  <si>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</si>
  <si>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</si>
  <si>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</si>
  <si>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</si>
  <si>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https://finance.yahoo.com/quote/DGEAF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</si>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</sst>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E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EAF" TargetMode="External"/><Relationship Id="rId5" Type="http://schemas.openxmlformats.org/officeDocument/2006/relationships/hyperlink" Target="https://finance.yahoo.com/quote/DGE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239</v>
      </c>
      <c r="C2">
        <v>237</v>
      </c>
      <c r="D2">
        <v>285</v>
      </c>
      <c r="E2">
        <v>389</v>
      </c>
      <c r="F2">
        <v>438</v>
      </c>
      <c r="G2">
        <v>458</v>
      </c>
      <c r="H2">
        <v>543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32</v>
      </c>
      <c r="C6">
        <v>37</v>
      </c>
      <c r="D6">
        <v>33</v>
      </c>
      <c r="E6">
        <v>120</v>
      </c>
      <c r="F6">
        <v>71</v>
      </c>
      <c r="G6">
        <v>76</v>
      </c>
      <c r="H6">
        <v>89</v>
      </c>
    </row>
    <row r="7" spans="1:8" x14ac:dyDescent="0.25">
      <c r="A7" t="s">
        <v>6</v>
      </c>
      <c r="B7">
        <v>204</v>
      </c>
      <c r="C7">
        <v>236</v>
      </c>
      <c r="D7">
        <v>188</v>
      </c>
      <c r="E7">
        <v>334</v>
      </c>
      <c r="F7">
        <v>414</v>
      </c>
      <c r="G7">
        <v>494</v>
      </c>
      <c r="H7">
        <v>561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-3</v>
      </c>
      <c r="C16">
        <v>-14</v>
      </c>
      <c r="D16">
        <v>-5</v>
      </c>
      <c r="E16">
        <v>-13</v>
      </c>
      <c r="F16">
        <v>-29</v>
      </c>
      <c r="G16">
        <v>-24</v>
      </c>
      <c r="H16">
        <v>-21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7</v>
      </c>
      <c r="F19">
        <v>8</v>
      </c>
      <c r="G19">
        <v>3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6</v>
      </c>
      <c r="C22">
        <v>5</v>
      </c>
      <c r="D22">
        <v>3</v>
      </c>
      <c r="E22">
        <v>98</v>
      </c>
      <c r="F22">
        <v>36</v>
      </c>
      <c r="G22">
        <v>40</v>
      </c>
      <c r="H22">
        <v>47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4</v>
      </c>
      <c r="G23">
        <v>-2</v>
      </c>
      <c r="H23">
        <v>2</v>
      </c>
    </row>
    <row r="24" spans="1:8" x14ac:dyDescent="0.25">
      <c r="A24" t="s">
        <v>22</v>
      </c>
      <c r="B24">
        <v>-11</v>
      </c>
      <c r="C24">
        <v>8</v>
      </c>
      <c r="D24">
        <v>-95</v>
      </c>
      <c r="E24">
        <v>-394</v>
      </c>
      <c r="F24">
        <v>-379</v>
      </c>
      <c r="G24">
        <v>-338</v>
      </c>
      <c r="H24">
        <v>-315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67</v>
      </c>
      <c r="C26">
        <v>-120</v>
      </c>
      <c r="D26">
        <v>18</v>
      </c>
      <c r="E26">
        <v>-109</v>
      </c>
      <c r="F26">
        <v>-82</v>
      </c>
      <c r="G26">
        <v>-155</v>
      </c>
      <c r="H26">
        <v>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4647</v>
      </c>
      <c r="D37">
        <v>4464</v>
      </c>
      <c r="E37">
        <v>0</v>
      </c>
      <c r="F37">
        <v>7306</v>
      </c>
      <c r="G37">
        <v>8213</v>
      </c>
      <c r="H37">
        <v>8331</v>
      </c>
    </row>
    <row r="38" spans="1:8" x14ac:dyDescent="0.25">
      <c r="A38" t="s">
        <v>34</v>
      </c>
      <c r="B38">
        <v>0</v>
      </c>
      <c r="C38">
        <v>4647</v>
      </c>
      <c r="D38">
        <v>4464</v>
      </c>
      <c r="E38">
        <v>-416</v>
      </c>
      <c r="F38">
        <v>6520</v>
      </c>
      <c r="G38">
        <v>7514</v>
      </c>
      <c r="H38">
        <v>7960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L37-L38</f>
      </c>
      <c r="F39">
        <f>M37-M38</f>
      </c>
      <c r="G39">
        <f>N37-N38</f>
      </c>
      <c r="H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