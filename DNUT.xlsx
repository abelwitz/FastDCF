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<sst xmlns="http://schemas.openxmlformats.org/spreadsheetml/2006/main" count="72" uniqueCount="69">
  <si>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</si>
  <si>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</si>
  <si>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</si>
  <si>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</si>
  <si>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</si>
  <si>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</si>
  <si>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</si>
  <si>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</si>
  <si>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</si>
  <si>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</si>
  <si>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</si>
  <si>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</si>
  <si>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</si>
  <si>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</si>
  <si>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</si>
  <si>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</si>
  <si>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</si>
  <si>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</si>
  <si>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</si>
  <si>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</si>
  <si>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</si>
  <si>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</si>
  <si>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</si>
  <si>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</si>
  <si>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</si>
  <si>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</si>
  <si>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</si>
  <si>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</si>
  <si>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</si>
  <si>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</si>
  <si>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</si>
  <si>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</si>
  <si>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</si>
  <si>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</si>
  <si>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</si>
  <si>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</si>
  <si>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</si>
  <si>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</si>
  <si>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</si>
  <si>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</si>
  <si>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</si>
  <si>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</si>
  <si>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</si>
  <si>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</si>
  <si>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</si>
  <si>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</si>
  <si>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https://finance.yahoo.com/quote/DNUT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</si>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</sst>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NU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NUT" TargetMode="External"/><Relationship Id="rId5" Type="http://schemas.openxmlformats.org/officeDocument/2006/relationships/hyperlink" Target="https://finance.yahoo.com/quote/DN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959043</v>
      </c>
      <c r="C2" s="3">
        <v>1120989</v>
      </c>
      <c r="D2" s="3">
        <v>1384116</v>
      </c>
      <c r="E2" s="3">
        <v>1529898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161452</v>
      </c>
      <c r="C6" s="3">
        <v>182317</v>
      </c>
      <c r="D6" s="3">
        <v>222394</v>
      </c>
      <c r="E6" s="3">
        <v>223198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819989</v>
      </c>
      <c r="C7" s="3">
        <v>992648</v>
      </c>
      <c r="D7" s="3">
        <v>1163904</v>
      </c>
      <c r="E7" s="3">
        <v>1311827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609</v>
      </c>
      <c r="C12" s="3">
        <v>1101</v>
      </c>
      <c r="D12" s="3">
        <v>-2191</v>
      </c>
      <c r="E12" s="3">
        <v>-3036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>
        <v>-365</v>
      </c>
      <c r="C14" s="3">
        <v>-1047</v>
      </c>
      <c r="D14" s="3">
        <v>-275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12577</v>
      </c>
      <c r="C16" s="3">
        <v>9112</v>
      </c>
      <c r="D16" s="3">
        <v>10745</v>
      </c>
      <c r="E16" s="3">
        <v>612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3408</v>
      </c>
      <c r="C18" s="3">
        <v>3361</v>
      </c>
      <c r="D18" s="3">
        <v>9663</v>
      </c>
      <c r="E18" s="3">
        <v>6847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63767</v>
      </c>
      <c r="C22" s="3">
        <v>80398</v>
      </c>
      <c r="D22" s="3">
        <v>101608</v>
      </c>
      <c r="E22" s="3">
        <v>110261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10741</v>
      </c>
      <c r="C23" s="3">
        <v>11601</v>
      </c>
      <c r="D23" s="3">
        <v>22923</v>
      </c>
      <c r="E23" s="3">
        <v>18170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43713</v>
      </c>
      <c r="C24" s="3">
        <v>977</v>
      </c>
      <c r="D24" s="3">
        <v>41199</v>
      </c>
      <c r="E24" s="3">
        <v>27009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76373</v>
      </c>
      <c r="C26" s="3">
        <v>97826</v>
      </c>
      <c r="D26" s="3">
        <v>119497</v>
      </c>
      <c r="E26" s="3">
        <v>111717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3060995</v>
      </c>
      <c r="D37" s="3">
        <v>3145254</v>
      </c>
      <c r="E37" s="3">
        <v>3148537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2376311</v>
      </c>
      <c r="D38" s="3">
        <v>1913665</v>
      </c>
      <c r="E38" s="3">
        <v>1952205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D37-D38</f>
      </c>
      <c r="D39" s="3">
        <f>E37-E38</f>
      </c>
      <c r="E39" s="3">
        <f>F37-F38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