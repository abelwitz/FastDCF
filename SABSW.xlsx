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<sst xmlns="http://schemas.openxmlformats.org/spreadsheetml/2006/main" count="74" uniqueCount="70">
  <si>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</si>
  <si>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</si>
  <si>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</si>
  <si>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</si>
  <si>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</si>
  <si>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</si>
  <si>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</si>
  <si>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</si>
  <si>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</si>
  <si>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</si>
  <si>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</si>
  <si>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</si>
  <si>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</si>
  <si>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</si>
  <si>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</si>
  <si>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</si>
  <si>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</si>
  <si>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</si>
  <si>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</si>
  <si>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</si>
  <si>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Miscellaneous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</si>
  <si>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</si>
  <si>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</si>
  <si>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</si>
  <si>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</si>
  <si>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</si>
  <si>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</si>
  <si>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</si>
  <si>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</si>
  <si>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</si>
  <si>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</si>
  <si>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</si>
  <si>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</si>
  <si>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</si>
  <si>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</si>
  <si>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</si>
  <si>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</si>
  <si>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</si>
  <si>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</si>
  <si>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</si>
  <si>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</si>
  <si>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</si>
  <si>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</si>
  <si>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</si>
  <si>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</si>
  <si>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</si>
  <si>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</si>
  <si>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https://finance.yahoo.com/quote/SABSW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</si>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</sst>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SABSW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SABSW" TargetMode="External"/><Relationship Id="rId5" Type="http://schemas.openxmlformats.org/officeDocument/2006/relationships/hyperlink" Target="https://finance.yahoo.com/quote/SABSW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5" x14ac:dyDescent="0.25">
      <c r="A1" s="1" t="s">
        <v>0</v>
      </c>
      <c r="B1" s="2">
        <v>2020</v>
      </c>
      <c r="C1" s="2">
        <v>2021</v>
      </c>
      <c r="D1" s="2">
        <v>2022</v>
      </c>
      <c r="E1" s="2">
        <v>2023</v>
      </c>
      <c r="F1" s="2">
        <v>2024</v>
      </c>
      <c r="G1" s="2">
        <v>2025</v>
      </c>
      <c r="H1" s="2">
        <v>2026</v>
      </c>
      <c r="I1" s="2">
        <v>2027</v>
      </c>
      <c r="J1" s="2">
        <v>2028</v>
      </c>
      <c r="K1" s="2">
        <v>2029</v>
      </c>
      <c r="L1" s="2">
        <v>2030</v>
      </c>
      <c r="M1" s="2">
        <v>2031</v>
      </c>
      <c r="N1" s="2">
        <v>2032</v>
      </c>
      <c r="O1" s="2">
        <v>2033</v>
      </c>
    </row>
    <row r="2" spans="1:15" x14ac:dyDescent="0.25">
      <c r="A2" s="2" t="s">
        <v>1</v>
      </c>
      <c r="B2" s="3">
        <v>55237759</v>
      </c>
      <c r="C2" s="3">
        <v>60876078</v>
      </c>
      <c r="D2" s="3">
        <v>23904181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</row>
    <row r="3" spans="1:15" x14ac:dyDescent="0.25">
      <c r="A3" s="2" t="s">
        <v>2</v>
      </c>
      <c r="B3" s="3">
        <v>0</v>
      </c>
      <c r="C3" s="3">
        <v>0</v>
      </c>
      <c r="D3" s="3">
        <v>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5" x14ac:dyDescent="0.25">
      <c r="A5" s="2" t="s">
        <v>4</v>
      </c>
      <c r="B5" s="3">
        <v>27908659</v>
      </c>
      <c r="C5" s="3">
        <v>57183589</v>
      </c>
      <c r="D5" s="3">
        <v>36438513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</row>
    <row r="6" spans="1:15" x14ac:dyDescent="0.25">
      <c r="A6" s="2" t="s">
        <v>5</v>
      </c>
      <c r="B6" s="3">
        <v>6772303</v>
      </c>
      <c r="C6" s="3">
        <v>17085692</v>
      </c>
      <c r="D6" s="3">
        <v>16383285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</row>
    <row r="7" spans="1:15" x14ac:dyDescent="0.25">
      <c r="A7" s="2" t="s">
        <v>6</v>
      </c>
      <c r="B7" s="3">
        <v>0</v>
      </c>
      <c r="C7" s="3">
        <v>0</v>
      </c>
      <c r="D7" s="3">
        <v>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0</v>
      </c>
      <c r="D10" s="3">
        <v>0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5" x14ac:dyDescent="0.25">
      <c r="A11" s="2" t="s">
        <v>10</v>
      </c>
      <c r="B11" s="3">
        <v>469151</v>
      </c>
      <c r="C11" s="3">
        <v>294459</v>
      </c>
      <c r="D11" s="3">
        <v>301584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</row>
    <row r="12" spans="1:15" x14ac:dyDescent="0.25">
      <c r="A12" s="2" t="s">
        <v>11</v>
      </c>
      <c r="B12" s="3">
        <v>-469151</v>
      </c>
      <c r="C12" s="3">
        <v>-294459</v>
      </c>
      <c r="D12" s="3">
        <v>-301584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</row>
    <row r="13" spans="1:15" x14ac:dyDescent="0.25">
      <c r="A13" s="2" t="s">
        <v>12</v>
      </c>
      <c r="B13" s="3">
        <v>30127</v>
      </c>
      <c r="C13" s="3">
        <v>-3456869</v>
      </c>
      <c r="D13" s="3">
        <v>10504026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</row>
    <row r="14" spans="1:26" x14ac:dyDescent="0.25">
      <c r="A14" s="2" t="s">
        <v>13</v>
      </c>
      <c r="B14" s="3">
        <f>B12+B13</f>
      </c>
      <c r="C14" s="3">
        <f>C12+C13</f>
      </c>
      <c r="D14" s="3">
        <f>D12+D13</f>
      </c>
      <c r="E14" s="3">
        <f>E12+E13</f>
      </c>
      <c r="F14" s="3">
        <f>F12+F13</f>
      </c>
      <c r="G14" s="3">
        <f>G12+G13</f>
      </c>
      <c r="H14" s="3">
        <f>H12+H13</f>
      </c>
      <c r="I14" s="3">
        <f>I12+I13</f>
      </c>
      <c r="J14" s="3">
        <f>J12+J13</f>
      </c>
      <c r="K14" s="3">
        <f>K12+K13</f>
      </c>
      <c r="L14" s="3">
        <f>L12+L13</f>
      </c>
      <c r="M14" s="3">
        <f>M12+M13</f>
      </c>
      <c r="N14" s="3">
        <f>N12+N13</f>
      </c>
      <c r="O14" s="3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5" x14ac:dyDescent="0.25">
      <c r="A15" s="2" t="s">
        <v>14</v>
      </c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</row>
    <row r="16" spans="1:26" x14ac:dyDescent="0.25">
      <c r="A16" s="2" t="s">
        <v>15</v>
      </c>
      <c r="B16" s="3">
        <f>B9+B14-B15</f>
      </c>
      <c r="C16" s="3">
        <f>C9+C14-C15</f>
      </c>
      <c r="D16" s="3">
        <f>D9+D14-D15</f>
      </c>
      <c r="E16" s="3">
        <f>E9+E14-E15</f>
      </c>
      <c r="F16" s="3">
        <f>F9+F14-F15</f>
      </c>
      <c r="G16" s="3">
        <f>G9+G14-G15</f>
      </c>
      <c r="H16" s="3">
        <f>H9+H14-H15</f>
      </c>
      <c r="I16" s="3">
        <f>I9+I14-I15</f>
      </c>
      <c r="J16" s="3">
        <f>J9+J14-J15</f>
      </c>
      <c r="K16" s="3">
        <f>K9+K14-K15</f>
      </c>
      <c r="L16" s="3">
        <f>L9+L14-L15</f>
      </c>
      <c r="M16" s="3">
        <f>M9+M14-M15</f>
      </c>
      <c r="N16" s="3">
        <f>N9+N14-N15</f>
      </c>
      <c r="O16" s="3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15" x14ac:dyDescent="0.25">
      <c r="A17" s="2" t="s">
        <v>16</v>
      </c>
      <c r="B17" s="3">
        <v>0</v>
      </c>
      <c r="C17" s="3">
        <v>0</v>
      </c>
      <c r="D17" s="3">
        <v>25629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</row>
    <row r="18" spans="1:15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</row>
    <row r="19" spans="1:15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</row>
    <row r="20" spans="1:15" x14ac:dyDescent="0.25">
      <c r="A20" s="2" t="s">
        <v>19</v>
      </c>
      <c r="B20" s="3">
        <v>0</v>
      </c>
      <c r="C20" s="3">
        <v>0</v>
      </c>
      <c r="D20" s="3">
        <v>0</v>
      </c>
      <c r="E20" s="3"/>
      <c r="F20" s="3"/>
      <c r="G20" s="3"/>
      <c r="H20" s="3"/>
      <c r="I20" s="3"/>
      <c r="J20" s="3"/>
      <c r="K20" s="3"/>
      <c r="L20" s="3"/>
      <c r="M20" s="3"/>
      <c r="N20" s="3"/>
      <c r="O20" s="3"/>
    </row>
    <row r="21" spans="1:15" x14ac:dyDescent="0.25">
      <c r="A21" s="2" t="s">
        <v>20</v>
      </c>
      <c r="B21" s="3">
        <v>0</v>
      </c>
      <c r="C21" s="3">
        <v>0</v>
      </c>
      <c r="D21" s="3">
        <v>0</v>
      </c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</row>
    <row r="22" spans="1:26" x14ac:dyDescent="0.25">
      <c r="A22" s="2" t="s">
        <v>21</v>
      </c>
      <c r="B22" s="3">
        <f>B16-B17+B18-B19+B20+B21</f>
      </c>
      <c r="C22" s="3">
        <f>C16-C17+C18-C19+C20+C21</f>
      </c>
      <c r="D22" s="3">
        <f>D16-D17+D18-D19+D20+D21</f>
      </c>
      <c r="E22" s="3">
        <f>E16-E17+E18-E19+E20+E21</f>
      </c>
      <c r="F22" s="3">
        <f>F16-F17+F18-F19+F20+F21</f>
      </c>
      <c r="G22" s="3">
        <f>G16-G17+G18-G19+G20+G21</f>
      </c>
      <c r="H22" s="3">
        <f>H16-H17+H18-H19+H20+H21</f>
      </c>
      <c r="I22" s="3">
        <f>I16-I17+I18-I19+I20+I21</f>
      </c>
      <c r="J22" s="3">
        <f>J16-J17+J18-J19+J20+J21</f>
      </c>
      <c r="K22" s="3">
        <f>K16-K17+K18-K19+K20+K21</f>
      </c>
      <c r="L22" s="3">
        <f>L16-L17+L18-L19+L20+L21</f>
      </c>
      <c r="M22" s="3">
        <f>M16-M17+M18-M19+M20+M21</f>
      </c>
      <c r="N22" s="3">
        <f>N16-N17+N18-N19+N20+N21</f>
      </c>
      <c r="O22" s="3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3" spans="1:15" x14ac:dyDescent="0.25">
      <c r="A23" s="2"/>
      <c r="B23" s="3"/>
      <c r="C23" s="3"/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</row>
    <row r="24" spans="1:15" x14ac:dyDescent="0.25">
      <c r="A24" s="2" t="s">
        <v>22</v>
      </c>
      <c r="B24" s="3">
        <v>383142</v>
      </c>
      <c r="C24" s="3">
        <v>1488614</v>
      </c>
      <c r="D24" s="3">
        <v>3169429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</row>
    <row r="25" spans="1:15" x14ac:dyDescent="0.25">
      <c r="A25" s="2" t="s">
        <v>23</v>
      </c>
      <c r="B25" s="3">
        <v>1295423</v>
      </c>
      <c r="C25" s="3">
        <v>2314682</v>
      </c>
      <c r="D25" s="3">
        <v>2674203</v>
      </c>
      <c r="E25" s="3"/>
      <c r="F25" s="3"/>
      <c r="G25" s="3"/>
      <c r="H25" s="3"/>
      <c r="I25" s="3"/>
      <c r="J25" s="3"/>
      <c r="K25" s="3"/>
      <c r="L25" s="3"/>
      <c r="M25" s="3"/>
      <c r="N25" s="3"/>
      <c r="O25" s="3"/>
    </row>
    <row r="26" spans="1:15" x14ac:dyDescent="0.25">
      <c r="A26" s="2" t="s">
        <v>24</v>
      </c>
      <c r="B26" s="3">
        <v>-11791543</v>
      </c>
      <c r="C26" s="3">
        <v>15328108</v>
      </c>
      <c r="D26" s="3">
        <v>-10562339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</row>
    <row r="27" spans="1:26" x14ac:dyDescent="0.25">
      <c r="A27" s="2" t="s">
        <v>25</v>
      </c>
      <c r="B27" s="3">
        <f>B22+B24+B25+B26</f>
      </c>
      <c r="C27" s="3">
        <f>C22+C24+C25+C26</f>
      </c>
      <c r="D27" s="3">
        <f>D22+D24+D25+D26</f>
      </c>
      <c r="E27" s="3">
        <f>E22+E24+E25+E26</f>
      </c>
      <c r="F27" s="3">
        <f>F22+F24+F25+F26</f>
      </c>
      <c r="G27" s="3">
        <f>G22+G24+G25+G26</f>
      </c>
      <c r="H27" s="3">
        <f>H22+H24+H25+H26</f>
      </c>
      <c r="I27" s="3">
        <f>I22+I24+I25+I26</f>
      </c>
      <c r="J27" s="3">
        <f>J22+J24+J25+J26</f>
      </c>
      <c r="K27" s="3">
        <f>K22+K24+K25+K26</f>
      </c>
      <c r="L27" s="3">
        <f>L22+L24+L25+L26</f>
      </c>
      <c r="M27" s="3">
        <f>M22+M24+M25+M26</f>
      </c>
      <c r="N27" s="3">
        <f>N22+N24+N25+N26</f>
      </c>
      <c r="O27" s="3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15" x14ac:dyDescent="0.25">
      <c r="A28" s="2" t="s">
        <v>26</v>
      </c>
      <c r="B28" s="3">
        <v>12731702</v>
      </c>
      <c r="C28" s="3">
        <v>10943657</v>
      </c>
      <c r="D28" s="3">
        <v>2166414</v>
      </c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</row>
    <row r="29" spans="1:26" x14ac:dyDescent="0.25">
      <c r="A29" s="2" t="s">
        <v>27</v>
      </c>
      <c r="B29" s="3">
        <f>B27-B28</f>
      </c>
      <c r="C29" s="3">
        <f>C27-C28</f>
      </c>
      <c r="D29" s="3">
        <f>D27-D28</f>
      </c>
      <c r="E29" s="3">
        <f>E27-E28</f>
      </c>
      <c r="F29" s="3">
        <f>F27-F28</f>
      </c>
      <c r="G29" s="3">
        <f>G27-G28</f>
      </c>
      <c r="H29" s="3">
        <f>H27-H28</f>
      </c>
      <c r="I29" s="3">
        <f>I27-I28</f>
      </c>
      <c r="J29" s="3">
        <f>J27-J28</f>
      </c>
      <c r="K29" s="3">
        <f>K27-K28</f>
      </c>
      <c r="L29" s="3">
        <f>L27-L28</f>
      </c>
      <c r="M29" s="3">
        <f>M27-M28</f>
      </c>
      <c r="N29" s="3">
        <f>N27-N28</f>
      </c>
      <c r="O29" s="3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0" spans="1:15" x14ac:dyDescent="0.25">
      <c r="A30" s="2"/>
      <c r="B30" s="3"/>
      <c r="C30" s="3"/>
      <c r="D30" s="3"/>
      <c r="E30" s="3"/>
      <c r="F30" s="3"/>
      <c r="G30" s="3"/>
      <c r="H30" s="3"/>
      <c r="I30" s="3"/>
      <c r="J30" s="3"/>
      <c r="K30" s="3"/>
      <c r="L30" s="3"/>
      <c r="M30" s="3"/>
      <c r="N30" s="3"/>
      <c r="O30" s="3"/>
    </row>
    <row r="31" spans="1:26" x14ac:dyDescent="0.25">
      <c r="A31" s="2" t="s">
        <v>28</v>
      </c>
      <c r="B31" s="4"/>
      <c r="C31" s="4">
        <f>IF(AND(COUNT(B2,C2)=2, C2&lt;&gt;0, B2&lt;&gt;0), C2/B2-1, " ")</f>
      </c>
      <c r="D31" s="4">
        <f>IF(AND(COUNT(C2,D2)=2, D2&lt;&gt;0, C2&lt;&gt;0), D2/C2-1, " ")</f>
      </c>
      <c r="E31" s="4">
        <f>IF(AND(COUNT(D2,E2)=2, E2&lt;&gt;0, D2&lt;&gt;0), E2/D2-1, " ")</f>
      </c>
      <c r="F31" s="4">
        <f>IF(AND(COUNT(E2,F2)=2, F2&lt;&gt;0, E2&lt;&gt;0), F2/E2-1, " ")</f>
      </c>
      <c r="G31" s="4">
        <f>IF(AND(COUNT(F2,G2)=2, G2&lt;&gt;0, F2&lt;&gt;0), G2/F2-1, " ")</f>
      </c>
      <c r="H31" s="4">
        <f>IF(AND(COUNT(G2,H2)=2, H2&lt;&gt;0, G2&lt;&gt;0), H2/G2-1, " ")</f>
      </c>
      <c r="I31" s="4">
        <f>IF(AND(COUNT(H2,I2)=2, I2&lt;&gt;0, H2&lt;&gt;0), I2/H2-1, " ")</f>
      </c>
      <c r="J31" s="4">
        <f>IF(AND(COUNT(I2,J2)=2, J2&lt;&gt;0, I2&lt;&gt;0), J2/I2-1, " ")</f>
      </c>
      <c r="K31" s="4">
        <f>IF(AND(COUNT(J2,K2)=2, K2&lt;&gt;0, J2&lt;&gt;0), K2/J2-1, " ")</f>
      </c>
      <c r="L31" s="4">
        <f>IF(AND(COUNT(K2,L2)=2, L2&lt;&gt;0, K2&lt;&gt;0), L2/K2-1, " ")</f>
      </c>
      <c r="M31" s="4">
        <f>IF(AND(COUNT(L2,M2)=2, M2&lt;&gt;0, L2&lt;&gt;0), M2/L2-1, " ")</f>
      </c>
      <c r="N31" s="4">
        <f>IF(AND(COUNT(M2,N2)=2, N2&lt;&gt;0, M2&lt;&gt;0), N2/M2-1, " ")</f>
      </c>
      <c r="O31" s="4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s="2" t="s">
        <v>29</v>
      </c>
      <c r="B32" s="4">
        <f>IF(AND(COUNT(B2,B4)=2, B2&lt;&gt;0), B4/B2, " ")</f>
      </c>
      <c r="C32" s="4">
        <f>IF(AND(COUNT(C2,C4)=2, C2&lt;&gt;0), C4/C2, " ")</f>
      </c>
      <c r="D32" s="4">
        <f>IF(AND(COUNT(D2,D4)=2, D2&lt;&gt;0), D4/D2, " ")</f>
      </c>
      <c r="E32" s="4">
        <f>IF(AND(COUNT(E2,E4)=2, E2&lt;&gt;0), E4/E2, " ")</f>
      </c>
      <c r="F32" s="4">
        <f>IF(AND(COUNT(F2,F4)=2, F2&lt;&gt;0), F4/F2, " ")</f>
      </c>
      <c r="G32" s="4">
        <f>IF(AND(COUNT(G2,G4)=2, G2&lt;&gt;0), G4/G2, " ")</f>
      </c>
      <c r="H32" s="4">
        <f>IF(AND(COUNT(H2,H4)=2, H2&lt;&gt;0), H4/H2, " ")</f>
      </c>
      <c r="I32" s="4">
        <f>IF(AND(COUNT(I2,I4)=2, I2&lt;&gt;0), I4/I2, " ")</f>
      </c>
      <c r="J32" s="4">
        <f>IF(AND(COUNT(J2,J4)=2, J2&lt;&gt;0), J4/J2, " ")</f>
      </c>
      <c r="K32" s="4">
        <f>IF(AND(COUNT(K2,K4)=2, K2&lt;&gt;0), K4/K2, " ")</f>
      </c>
      <c r="L32" s="4">
        <f>IF(AND(COUNT(L2,L4)=2, L2&lt;&gt;0), L4/L2, " ")</f>
      </c>
      <c r="M32" s="4">
        <f>IF(AND(COUNT(M2,M4)=2, M2&lt;&gt;0), M4/M2, " ")</f>
      </c>
      <c r="N32" s="4">
        <f>IF(AND(COUNT(N2,N4)=2, N2&lt;&gt;0), N4/N2, " ")</f>
      </c>
      <c r="O32" s="4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s="2" t="s">
        <v>30</v>
      </c>
      <c r="B33" s="4">
        <f>IF(AND(COUNT(B2,B9)=2, B2&lt;&gt;0), B9/B2, " ")</f>
      </c>
      <c r="C33" s="4">
        <f>IF(AND(COUNT(C2,C9)=2, C2&lt;&gt;0), C9/C2, " ")</f>
      </c>
      <c r="D33" s="4">
        <f>IF(AND(COUNT(D2,D9)=2, D2&lt;&gt;0), D9/D2, " ")</f>
      </c>
      <c r="E33" s="4">
        <f>IF(AND(COUNT(E2,E9)=2, E2&lt;&gt;0), E9/E2, " ")</f>
      </c>
      <c r="F33" s="4">
        <f>IF(AND(COUNT(F2,F9)=2, F2&lt;&gt;0), F9/F2, " ")</f>
      </c>
      <c r="G33" s="4">
        <f>IF(AND(COUNT(G2,G9)=2, G2&lt;&gt;0), G9/G2, " ")</f>
      </c>
      <c r="H33" s="4">
        <f>IF(AND(COUNT(H2,H9)=2, H2&lt;&gt;0), H9/H2, " ")</f>
      </c>
      <c r="I33" s="4">
        <f>IF(AND(COUNT(I2,I9)=2, I2&lt;&gt;0), I9/I2, " ")</f>
      </c>
      <c r="J33" s="4">
        <f>IF(AND(COUNT(J2,J9)=2, J2&lt;&gt;0), J9/J2, " ")</f>
      </c>
      <c r="K33" s="4">
        <f>IF(AND(COUNT(K2,K9)=2, K2&lt;&gt;0), K9/K2, " ")</f>
      </c>
      <c r="L33" s="4">
        <f>IF(AND(COUNT(L2,L9)=2, L2&lt;&gt;0), L9/L2, " ")</f>
      </c>
      <c r="M33" s="4">
        <f>IF(AND(COUNT(M2,M9)=2, M2&lt;&gt;0), M9/M2, " ")</f>
      </c>
      <c r="N33" s="4">
        <f>IF(AND(COUNT(N2,N9)=2, N2&lt;&gt;0), N9/N2, " ")</f>
      </c>
      <c r="O33" s="4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s="2" t="s">
        <v>31</v>
      </c>
      <c r="B34" s="4">
        <f>IF(AND(COUNT(B15,B15)=2, B15&lt;&gt;0), B16/B15, " ")</f>
      </c>
      <c r="C34" s="4">
        <f>IF(AND(COUNT(C15,C15)=2, C15&lt;&gt;0), C16/C15, " ")</f>
      </c>
      <c r="D34" s="4">
        <f>IF(AND(COUNT(D15,D15)=2, D15&lt;&gt;0), D16/D15, " ")</f>
      </c>
      <c r="E34" s="4">
        <f>IF(AND(COUNT(E15,E15)=2, E15&lt;&gt;0), E16/E15, " ")</f>
      </c>
      <c r="F34" s="4">
        <f>IF(AND(COUNT(F15,F15)=2, F15&lt;&gt;0), F16/F15, " ")</f>
      </c>
      <c r="G34" s="4">
        <f>IF(AND(COUNT(G15,G15)=2, G15&lt;&gt;0), G16/G15, " ")</f>
      </c>
      <c r="H34" s="4">
        <f>IF(AND(COUNT(H15,H15)=2, H15&lt;&gt;0), H16/H15, " ")</f>
      </c>
      <c r="I34" s="4">
        <f>IF(AND(COUNT(I15,I15)=2, I15&lt;&gt;0), I16/I15, " ")</f>
      </c>
      <c r="J34" s="4">
        <f>IF(AND(COUNT(J15,J15)=2, J15&lt;&gt;0), J16/J15, " ")</f>
      </c>
      <c r="K34" s="4">
        <f>IF(AND(COUNT(K15,K15)=2, K15&lt;&gt;0), K16/K15, " ")</f>
      </c>
      <c r="L34" s="4">
        <f>IF(AND(COUNT(L15,L15)=2, L15&lt;&gt;0), L16/L15, " ")</f>
      </c>
      <c r="M34" s="4">
        <f>IF(AND(COUNT(M15,M15)=2, M15&lt;&gt;0), M16/M15, " ")</f>
      </c>
      <c r="N34" s="4">
        <f>IF(AND(COUNT(N15,N15)=2, N15&lt;&gt;0), N16/N15, " ")</f>
      </c>
      <c r="O34" s="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s="2" t="s">
        <v>32</v>
      </c>
      <c r="B35" s="4">
        <f>IF(AND(COUNT(B22,B2)=2, B2&lt;&gt;0), B22/B2, " ")</f>
      </c>
      <c r="C35" s="4">
        <f>IF(AND(COUNT(C22,C2)=2, C2&lt;&gt;0), C22/C2, " ")</f>
      </c>
      <c r="D35" s="4">
        <f>IF(AND(COUNT(D22,D2)=2, D2&lt;&gt;0), D22/D2, " ")</f>
      </c>
      <c r="E35" s="4">
        <f>IF(AND(COUNT(E22,E2)=2, E2&lt;&gt;0), E22/E2, " ")</f>
      </c>
      <c r="F35" s="4">
        <f>IF(AND(COUNT(F22,F2)=2, F2&lt;&gt;0), F22/F2, " ")</f>
      </c>
      <c r="G35" s="4">
        <f>IF(AND(COUNT(G22,G2)=2, G2&lt;&gt;0), G22/G2, " ")</f>
      </c>
      <c r="H35" s="4">
        <f>IF(AND(COUNT(H22,H2)=2, H2&lt;&gt;0), H22/H2, " ")</f>
      </c>
      <c r="I35" s="4">
        <f>IF(AND(COUNT(I22,I2)=2, I2&lt;&gt;0), I22/I2, " ")</f>
      </c>
      <c r="J35" s="4">
        <f>IF(AND(COUNT(J22,J2)=2, J2&lt;&gt;0), J22/J2, " ")</f>
      </c>
      <c r="K35" s="4">
        <f>IF(AND(COUNT(K22,K2)=2, K2&lt;&gt;0), K22/K2, " ")</f>
      </c>
      <c r="L35" s="4">
        <f>IF(AND(COUNT(L22,L2)=2, L2&lt;&gt;0), L22/L2, " ")</f>
      </c>
      <c r="M35" s="4">
        <f>IF(AND(COUNT(M22,M2)=2, M2&lt;&gt;0), M22/M2, " ")</f>
      </c>
      <c r="N35" s="4">
        <f>IF(AND(COUNT(N22,N2)=2, N2&lt;&gt;0), N22/N2, " ")</f>
      </c>
      <c r="O35" s="4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s="2" t="s">
        <v>33</v>
      </c>
      <c r="B36" s="4"/>
      <c r="C36" s="4">
        <f>IF(AND(COUNT(B29,C29)=2, C29&lt;&gt;0, B2&lt;&gt;0), C27/B29-1, " ")</f>
      </c>
      <c r="D36" s="4">
        <f>IF(AND(COUNT(C29,D29)=2, D29&lt;&gt;0, C2&lt;&gt;0), D27/C29-1, " ")</f>
      </c>
      <c r="E36" s="4">
        <f>IF(AND(COUNT(D29,E29)=2, E29&lt;&gt;0, D2&lt;&gt;0), E27/D29-1, " ")</f>
      </c>
      <c r="F36" s="4">
        <f>IF(AND(COUNT(E29,F29)=2, F29&lt;&gt;0, E2&lt;&gt;0), F27/E29-1, " ")</f>
      </c>
      <c r="G36" s="4">
        <f>IF(AND(COUNT(F29,G29)=2, G29&lt;&gt;0, F2&lt;&gt;0), G27/F29-1, " ")</f>
      </c>
      <c r="H36" s="4">
        <f>IF(AND(COUNT(G29,H29)=2, H29&lt;&gt;0, G2&lt;&gt;0), H27/G29-1, " ")</f>
      </c>
      <c r="I36" s="4">
        <f>IF(AND(COUNT(H29,I29)=2, I29&lt;&gt;0, H2&lt;&gt;0), I27/H29-1, " ")</f>
      </c>
      <c r="J36" s="4">
        <f>IF(AND(COUNT(I29,J29)=2, J29&lt;&gt;0, I2&lt;&gt;0), J27/I29-1, " ")</f>
      </c>
      <c r="K36" s="4">
        <f>IF(AND(COUNT(J29,K29)=2, K29&lt;&gt;0, J2&lt;&gt;0), K27/J29-1, " ")</f>
      </c>
      <c r="L36" s="4">
        <f>IF(AND(COUNT(K29,L29)=2, L29&lt;&gt;0, K2&lt;&gt;0), L27/K29-1, " ")</f>
      </c>
      <c r="M36" s="4">
        <f>IF(AND(COUNT(L29,M29)=2, M29&lt;&gt;0, L2&lt;&gt;0), M27/L29-1, " ")</f>
      </c>
      <c r="N36" s="4">
        <f>IF(AND(COUNT(M29,N29)=2, N29&lt;&gt;0, M2&lt;&gt;0), N27/M29-1, " ")</f>
      </c>
      <c r="O36" s="4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7" spans="1:15" x14ac:dyDescent="0.25">
      <c r="A37" s="2"/>
      <c r="B37" s="3"/>
      <c r="C37" s="3"/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</row>
    <row r="38" spans="1:15" x14ac:dyDescent="0.25">
      <c r="A38" s="2" t="s">
        <v>34</v>
      </c>
      <c r="B38" s="3">
        <v>14845470</v>
      </c>
      <c r="C38" s="3">
        <v>24314455</v>
      </c>
      <c r="D38" s="3">
        <v>24973432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</row>
    <row r="39" spans="1:15" x14ac:dyDescent="0.25">
      <c r="A39" s="2" t="s">
        <v>35</v>
      </c>
      <c r="B39" s="3">
        <v>56537933</v>
      </c>
      <c r="C39" s="3">
        <v>81140931</v>
      </c>
      <c r="D39" s="3">
        <v>68487232</v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</row>
    <row r="40" spans="1:15" x14ac:dyDescent="0.25">
      <c r="A40" s="2" t="s">
        <v>36</v>
      </c>
      <c r="B40" s="3">
        <v>17530098</v>
      </c>
      <c r="C40" s="3">
        <v>42591018</v>
      </c>
      <c r="D40" s="3">
        <v>27228966</v>
      </c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</row>
    <row r="41" spans="1:15" x14ac:dyDescent="0.25">
      <c r="A41" s="2" t="s">
        <v>37</v>
      </c>
      <c r="B41" s="3">
        <f>B39-B40</f>
      </c>
      <c r="C41" s="3">
        <f>C39-C40</f>
      </c>
      <c r="D41" s="3">
        <f>D39-D40</f>
      </c>
      <c r="E41" s="3"/>
      <c r="F41" s="3"/>
      <c r="G41" s="3"/>
      <c r="H41" s="3"/>
      <c r="I41" s="3"/>
      <c r="J41" s="3"/>
      <c r="K41" s="3"/>
      <c r="L41" s="3"/>
      <c r="M41" s="3"/>
      <c r="N41" s="3"/>
      <c r="O41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41</v>
      </c>
      <c r="B6" s="4"/>
      <c r="C6" t="s">
        <v>42</v>
      </c>
    </row>
    <row r="7" spans="1:3" x14ac:dyDescent="0.25">
      <c r="A7" s="2" t="s">
        <v>43</v>
      </c>
      <c r="B7" s="4"/>
      <c r="C7" t="s">
        <v>44</v>
      </c>
    </row>
    <row r="8" spans="1:4" x14ac:dyDescent="0.25">
      <c r="A8" s="2" t="s">
        <v>45</v>
      </c>
      <c r="C8" t="s">
        <v>46</v>
      </c>
      <c r="D8" t="s">
        <v>47</v>
      </c>
    </row>
    <row r="9" spans="1:4" x14ac:dyDescent="0.25">
      <c r="A9" s="2" t="s">
        <v>48</v>
      </c>
      <c r="B9" s="4"/>
      <c r="C9" t="s">
        <v>49</v>
      </c>
      <c r="D9" t="s">
        <v>50</v>
      </c>
    </row>
    <row r="10" spans="1:4" x14ac:dyDescent="0.25">
      <c r="A10" s="2" t="s">
        <v>51</v>
      </c>
      <c r="B10" s="4"/>
      <c r="C10" t="s">
        <v>52</v>
      </c>
      <c r="D10" t="s">
        <v>53</v>
      </c>
    </row>
    <row r="11" spans="1:2" x14ac:dyDescent="0.25">
      <c r="A11" s="2" t="s">
        <v>54</v>
      </c>
      <c r="B11" s="4">
        <f>B10+B9*B8</f>
      </c>
    </row>
    <row r="12" spans="1:3" x14ac:dyDescent="0.25">
      <c r="A12" s="2" t="s">
        <v>55</v>
      </c>
      <c r="B12" s="4"/>
      <c r="C12" t="s">
        <v>56</v>
      </c>
    </row>
    <row r="13" spans="1:4" x14ac:dyDescent="0.25">
      <c r="A13" s="2" t="s">
        <v>57</v>
      </c>
      <c r="B13" s="3"/>
      <c r="C13" t="s">
        <v>58</v>
      </c>
      <c r="D13" t="s">
        <v>47</v>
      </c>
    </row>
    <row r="14" spans="1:3" x14ac:dyDescent="0.25">
      <c r="A14" s="2" t="s">
        <v>59</v>
      </c>
      <c r="B14" s="3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3"/>
      <c r="C20" t="s">
        <v>67</v>
      </c>
    </row>
    <row r="21" spans="1:4" x14ac:dyDescent="0.25">
      <c r="A21" s="2" t="s">
        <v>68</v>
      </c>
      <c r="B21" s="3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2023-12-24T11:03:10Z</cp:lastPrinted>
  <dcterms:created xsi:type="dcterms:W3CDTF">2023-12-24T11:03:10Z</dcterms:created>
  <dcterms:modified xsi:type="dcterms:W3CDTF">2023-12-24T11:03:10Z</dcterms:modified>
</cp:coreProperties>
</file>