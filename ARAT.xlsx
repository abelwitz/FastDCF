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<sst xmlns="http://schemas.openxmlformats.org/spreadsheetml/2006/main" count="72" uniqueCount="68">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</sst>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AT" TargetMode="External"/><Relationship Id="rId5" Type="http://schemas.openxmlformats.org/officeDocument/2006/relationships/hyperlink" Target="https://finance.yahoo.com/quote/AR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114</v>
      </c>
      <c r="D6" s="3">
        <v>29</v>
      </c>
      <c r="E6" s="3">
        <v>14495</v>
      </c>
      <c r="F6" s="3">
        <v>31123</v>
      </c>
      <c r="G6" s="3">
        <v>0</v>
      </c>
      <c r="H6" s="3">
        <v>26012</v>
      </c>
      <c r="I6" s="3">
        <v>73613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79</v>
      </c>
      <c r="C7" s="3">
        <v>30819</v>
      </c>
      <c r="D7" s="3">
        <v>50265</v>
      </c>
      <c r="E7" s="3">
        <v>314145</v>
      </c>
      <c r="F7" s="3">
        <v>132176</v>
      </c>
      <c r="G7" s="3">
        <v>0</v>
      </c>
      <c r="H7" s="3">
        <v>105775</v>
      </c>
      <c r="I7" s="3">
        <v>75000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18116</v>
      </c>
      <c r="F11" s="3">
        <v>76729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-5500</v>
      </c>
      <c r="F12" s="3">
        <v>5500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114</v>
      </c>
      <c r="D22" s="3">
        <v>29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58000</v>
      </c>
      <c r="G23" s="3">
        <v>0</v>
      </c>
      <c r="H23" s="3">
        <v>83834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>
        <v>428</v>
      </c>
      <c r="E24" s="3">
        <v>322482</v>
      </c>
      <c r="F24" s="3">
        <v>108966</v>
      </c>
      <c r="G24" s="3">
        <v>0</v>
      </c>
      <c r="H24" s="3">
        <v>26012</v>
      </c>
      <c r="I24" s="3">
        <v>148613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-571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457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8592</v>
      </c>
      <c r="C37" s="3">
        <v>4209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8592</v>
      </c>
      <c r="C38" s="3">
        <v>4221</v>
      </c>
      <c r="D38" s="3">
        <v>45458</v>
      </c>
      <c r="E38" s="3">
        <v>152817</v>
      </c>
      <c r="F38" s="3">
        <v>300545</v>
      </c>
      <c r="G38" s="3">
        <v>0</v>
      </c>
      <c r="H38" s="3">
        <v>26012</v>
      </c>
      <c r="I38" s="3">
        <v>174625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J37-J38</f>
      </c>
      <c r="H39" s="3">
        <f>K37-K38</f>
      </c>
      <c r="I39" s="3">
        <f>L37-L38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