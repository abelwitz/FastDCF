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<sst xmlns="http://schemas.openxmlformats.org/spreadsheetml/2006/main" count="74" uniqueCount="70">
  <si>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</si>
  <si>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</si>
  <si>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</si>
  <si>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</si>
  <si>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</si>
  <si>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</si>
  <si>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</si>
  <si>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</si>
  <si>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</si>
  <si>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</si>
  <si>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</si>
  <si>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</si>
  <si>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</si>
  <si>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</si>
  <si>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</si>
  <si>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</si>
  <si>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</si>
  <si>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</si>
  <si>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</si>
  <si>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</si>
  <si>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</si>
  <si>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</si>
  <si>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</si>
  <si>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</si>
  <si>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</si>
  <si>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</si>
  <si>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</si>
  <si>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</si>
  <si>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</si>
  <si>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</si>
  <si>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</si>
  <si>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</si>
  <si>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</si>
  <si>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</si>
  <si>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</si>
  <si>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</si>
  <si>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</si>
  <si>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</si>
  <si>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</si>
  <si>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</si>
  <si>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</si>
  <si>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</si>
  <si>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</si>
  <si>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</si>
  <si>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</si>
  <si>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</si>
  <si>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</si>
  <si>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https://finance.yahoo.com/quote/BRRN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</si>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</sst>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BRRN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BRRN" TargetMode="External"/><Relationship Id="rId5" Type="http://schemas.openxmlformats.org/officeDocument/2006/relationships/hyperlink" Target="https://finance.yahoo.com/quote/BRRN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4" x14ac:dyDescent="0.25">
      <c r="A1" s="1" t="s">
        <v>0</v>
      </c>
      <c r="B1" s="2">
        <v>2011</v>
      </c>
      <c r="C1" s="2">
        <v>2012</v>
      </c>
      <c r="D1" s="2">
        <v>2013</v>
      </c>
      <c r="E1" s="2">
        <v>2014</v>
      </c>
      <c r="F1" s="2">
        <v>2015</v>
      </c>
      <c r="G1" s="2">
        <v>2016</v>
      </c>
      <c r="H1" s="2">
        <v>2017</v>
      </c>
      <c r="I1" s="2">
        <v>2018</v>
      </c>
      <c r="J1" s="2">
        <v>2019</v>
      </c>
      <c r="K1" s="2">
        <v>2020</v>
      </c>
      <c r="L1" s="2">
        <v>2021</v>
      </c>
      <c r="M1" s="2">
        <v>2022</v>
      </c>
      <c r="N1" s="2">
        <v>2023</v>
      </c>
      <c r="O1" s="2">
        <v>2024</v>
      </c>
      <c r="P1" s="2">
        <v>2025</v>
      </c>
      <c r="Q1" s="2">
        <v>2026</v>
      </c>
      <c r="R1" s="2">
        <v>2027</v>
      </c>
      <c r="S1" s="2">
        <v>2028</v>
      </c>
      <c r="T1" s="2">
        <v>2029</v>
      </c>
      <c r="U1" s="2">
        <v>2030</v>
      </c>
      <c r="V1" s="2">
        <v>2031</v>
      </c>
      <c r="W1" s="2">
        <v>2032</v>
      </c>
      <c r="X1" s="2">
        <v>2033</v>
      </c>
    </row>
    <row r="2" spans="1:24" x14ac:dyDescent="0.25">
      <c r="A2" s="2" t="s">
        <v>1</v>
      </c>
      <c r="B2" s="3">
        <v>19900</v>
      </c>
      <c r="C2" s="3">
        <v>40900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spans="1:24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>
        <f>Y2-Y3</f>
      </c>
      <c r="Z4">
        <f>Z2-Z3</f>
      </c>
    </row>
    <row r="5" spans="1:24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</row>
    <row r="6" spans="1:24" x14ac:dyDescent="0.25">
      <c r="A6" s="2" t="s">
        <v>5</v>
      </c>
      <c r="B6" s="3">
        <v>8755</v>
      </c>
      <c r="C6" s="3">
        <v>160900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x14ac:dyDescent="0.25">
      <c r="A7" s="2" t="s">
        <v>6</v>
      </c>
      <c r="B7" s="3">
        <v>130414</v>
      </c>
      <c r="C7" s="3">
        <v>2165180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>
        <v>0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4" x14ac:dyDescent="0.25">
      <c r="A11" s="2" t="s">
        <v>10</v>
      </c>
      <c r="B11" s="3"/>
      <c r="C11" s="3">
        <v>289976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5">
      <c r="A12" s="2" t="s">
        <v>11</v>
      </c>
      <c r="B12" s="3">
        <v>0</v>
      </c>
      <c r="C12" s="3">
        <v>-289976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4" x14ac:dyDescent="0.25">
      <c r="A13" s="2" t="s">
        <v>12</v>
      </c>
      <c r="B13" s="3">
        <v>0</v>
      </c>
      <c r="C13" s="3">
        <v>-101101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>
        <f>Y12+Y13</f>
      </c>
      <c r="Z14">
        <f>Z12+Z13</f>
      </c>
    </row>
    <row r="15" spans="1:24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>
        <f>Y9+Y14-Y15</f>
      </c>
      <c r="Z16">
        <f>Z9+Z14-Z15</f>
      </c>
    </row>
    <row r="17" spans="1:24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>
        <f>Y16-Y17+Y18-Y19+Y20+Y21</f>
      </c>
      <c r="Z22">
        <f>Z16-Z17+Z18-Z19+Z20+Z21</f>
      </c>
    </row>
    <row r="23" spans="1:24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5">
      <c r="A24" s="2" t="s">
        <v>22</v>
      </c>
      <c r="B24" s="3">
        <v>0</v>
      </c>
      <c r="C24" s="3">
        <v>1180</v>
      </c>
      <c r="D24" s="3">
        <v>0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 x14ac:dyDescent="0.25">
      <c r="A25" s="2" t="s">
        <v>23</v>
      </c>
      <c r="B25" s="3">
        <v>0</v>
      </c>
      <c r="C25" s="3">
        <v>1307000</v>
      </c>
      <c r="D25" s="3">
        <v>0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 x14ac:dyDescent="0.25">
      <c r="A26" s="2" t="s">
        <v>24</v>
      </c>
      <c r="B26" s="3">
        <v>122514</v>
      </c>
      <c r="C26" s="3">
        <v>775503</v>
      </c>
      <c r="D26" s="3">
        <v>21000000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>
        <f>Y22+Y24+Y25+Y26</f>
      </c>
      <c r="Z27">
        <f>Z22+Z24+Z25+Z26</f>
      </c>
    </row>
    <row r="28" spans="1:24" x14ac:dyDescent="0.25">
      <c r="A28" s="2" t="s">
        <v>26</v>
      </c>
      <c r="B28" s="3">
        <v>0</v>
      </c>
      <c r="C28" s="3">
        <v>8051</v>
      </c>
      <c r="D28" s="3">
        <v>0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>
        <f>Y27-Y28</f>
      </c>
      <c r="Z29">
        <f>Z27-Z28</f>
      </c>
    </row>
    <row r="30" spans="1:24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4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</row>
    <row r="38" spans="1:24" x14ac:dyDescent="0.25">
      <c r="A38" s="2" t="s">
        <v>34</v>
      </c>
      <c r="B38" s="3">
        <v>0</v>
      </c>
      <c r="C38" s="3">
        <v>16871</v>
      </c>
      <c r="D38" s="3">
        <v>0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</row>
    <row r="39" spans="1:24" x14ac:dyDescent="0.25">
      <c r="A39" s="2" t="s">
        <v>35</v>
      </c>
      <c r="B39" s="3">
        <v>87</v>
      </c>
      <c r="C39" s="3">
        <v>85645</v>
      </c>
      <c r="D39" s="3">
        <v>0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</row>
    <row r="40" spans="1:24" x14ac:dyDescent="0.25">
      <c r="A40" s="2" t="s">
        <v>36</v>
      </c>
      <c r="B40" s="3">
        <v>291172</v>
      </c>
      <c r="C40" s="3">
        <v>2288999</v>
      </c>
      <c r="D40" s="3">
        <v>3017314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</row>
    <row r="41" spans="1:24" x14ac:dyDescent="0.25">
      <c r="A41" s="2" t="s">
        <v>37</v>
      </c>
      <c r="B41" s="3">
        <f>B39-B40</f>
      </c>
      <c r="C41" s="3">
        <f>C39-C40</f>
      </c>
      <c r="D41" s="3">
        <f>K39-K40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2023-12-24T00:46:14Z</cp:lastPrinted>
  <dcterms:created xsi:type="dcterms:W3CDTF">2023-12-24T00:46:14Z</dcterms:created>
  <dcterms:modified xsi:type="dcterms:W3CDTF">2023-12-24T00:46:14Z</dcterms:modified>
</cp:coreProperties>
</file>