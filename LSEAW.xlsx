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<sst xmlns="http://schemas.openxmlformats.org/spreadsheetml/2006/main" count="72" uniqueCount="68">
  <si>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</si>
  <si>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</si>
  <si>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</si>
  <si>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</si>
  <si>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</si>
  <si>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</si>
  <si>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</si>
  <si>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</si>
  <si>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</si>
  <si>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</si>
  <si>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</si>
  <si>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</si>
  <si>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</si>
  <si>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</si>
  <si>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</si>
  <si>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</si>
  <si>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</si>
  <si>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</si>
  <si>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</si>
  <si>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</si>
  <si>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</si>
  <si>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</si>
  <si>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</si>
  <si>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</si>
  <si>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</si>
  <si>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</si>
  <si>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</si>
  <si>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</si>
  <si>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</si>
  <si>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</si>
  <si>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</si>
  <si>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</si>
  <si>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</si>
  <si>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</si>
  <si>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</si>
  <si>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</si>
  <si>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</si>
  <si>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</si>
  <si>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</si>
  <si>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</si>
  <si>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</si>
  <si>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</si>
  <si>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</si>
  <si>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</si>
  <si>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</si>
  <si>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https://finance.yahoo.com/quote/LSEAW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</si>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</sst>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E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EAW" TargetMode="External"/><Relationship Id="rId5" Type="http://schemas.openxmlformats.org/officeDocument/2006/relationships/hyperlink" Target="https://finance.yahoo.com/quote/LSE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630988000</v>
      </c>
      <c r="E2" s="3">
        <v>734608000</v>
      </c>
      <c r="F2" s="3">
        <v>1023304000</v>
      </c>
      <c r="G2" s="3">
        <v>1446449000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531529000</v>
      </c>
      <c r="E3" s="3">
        <v>639737000</v>
      </c>
      <c r="F3" s="3">
        <v>840706000</v>
      </c>
      <c r="G3" s="3">
        <v>1159525000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120488</v>
      </c>
      <c r="C6" s="3">
        <v>586284</v>
      </c>
      <c r="D6" s="3">
        <v>61406000</v>
      </c>
      <c r="E6" s="3">
        <v>90698000</v>
      </c>
      <c r="F6" s="3">
        <v>123106000</v>
      </c>
      <c r="G6" s="3">
        <v>178630000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2100</v>
      </c>
      <c r="C7" s="3">
        <v>198617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325000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42327000</v>
      </c>
      <c r="E11" s="3">
        <v>39103000</v>
      </c>
      <c r="F11" s="3">
        <v>34808000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</v>
      </c>
      <c r="C12" s="3">
        <v>1363934</v>
      </c>
      <c r="D12" s="3">
        <v>40725000</v>
      </c>
      <c r="E12" s="3">
        <v>39183000</v>
      </c>
      <c r="F12" s="3">
        <v>40784000</v>
      </c>
      <c r="G12" s="3">
        <v>-7378000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311183</v>
      </c>
      <c r="D16" s="3">
        <v>6159000</v>
      </c>
      <c r="E16" s="3">
        <v>-3081000</v>
      </c>
      <c r="F16" s="3">
        <v>13995000</v>
      </c>
      <c r="G16" s="3">
        <v>25400000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5191000</v>
      </c>
      <c r="E18" s="3">
        <v>-133000</v>
      </c>
      <c r="F18" s="3">
        <v>-51000</v>
      </c>
      <c r="G18" s="3">
        <v>2114000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-7901000</v>
      </c>
      <c r="E19" s="3">
        <v>-16418000</v>
      </c>
      <c r="F19" s="3">
        <v>1262000</v>
      </c>
      <c r="G19" s="3">
        <v>149000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2960000</v>
      </c>
      <c r="E22" s="3">
        <v>3580000</v>
      </c>
      <c r="F22" s="3">
        <v>5393000</v>
      </c>
      <c r="G22" s="3">
        <v>5549000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5808000</v>
      </c>
      <c r="G23" s="3">
        <v>3647000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40718</v>
      </c>
      <c r="C24" s="3">
        <v>-1523881</v>
      </c>
      <c r="D24" s="3">
        <v>85882000</v>
      </c>
      <c r="E24" s="3">
        <v>18980000</v>
      </c>
      <c r="F24" s="3">
        <v>-30587000</v>
      </c>
      <c r="G24" s="3">
        <v>-66752000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-324501</v>
      </c>
      <c r="D26" s="3">
        <v>-1096000</v>
      </c>
      <c r="E26" s="3">
        <v>-4871038</v>
      </c>
      <c r="F26" s="3">
        <v>-18958000</v>
      </c>
      <c r="G26" s="3">
        <v>4891000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197821</v>
      </c>
      <c r="C37" s="3">
        <v>159958116</v>
      </c>
      <c r="D37" s="3">
        <v>162485391</v>
      </c>
      <c r="E37" s="3">
        <v>895764000</v>
      </c>
      <c r="F37" s="3">
        <v>1265514000</v>
      </c>
      <c r="G37" s="3">
        <v>1440496000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295404</v>
      </c>
      <c r="C38" s="3">
        <v>154958111</v>
      </c>
      <c r="D38" s="3">
        <v>157485382</v>
      </c>
      <c r="E38" s="3">
        <v>367579000</v>
      </c>
      <c r="F38" s="3">
        <v>645367000</v>
      </c>
      <c r="G38" s="3">
        <v>784546000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