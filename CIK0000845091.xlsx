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<sst xmlns="http://schemas.openxmlformats.org/spreadsheetml/2006/main" count="74" uniqueCount="71">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</sst>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268578</v>
      </c>
      <c r="C2" s="3">
        <v>307819</v>
      </c>
      <c r="D2" s="3">
        <v>317836</v>
      </c>
      <c r="E2" s="3">
        <v>271437</v>
      </c>
      <c r="F2" s="3">
        <v>42334</v>
      </c>
      <c r="G2" s="3">
        <v>226710</v>
      </c>
      <c r="H2" s="3">
        <v>243163</v>
      </c>
      <c r="I2" s="3">
        <v>172815</v>
      </c>
      <c r="J2" s="3">
        <v>216840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379751</v>
      </c>
      <c r="C3" s="3">
        <v>194659</v>
      </c>
      <c r="D3" s="3">
        <v>314138</v>
      </c>
      <c r="E3" s="3">
        <v>168457</v>
      </c>
      <c r="F3" s="3">
        <v>180800</v>
      </c>
      <c r="G3" s="3">
        <v>187753</v>
      </c>
      <c r="H3" s="3">
        <v>234223</v>
      </c>
      <c r="I3" s="3">
        <v>194347</v>
      </c>
      <c r="J3" s="3">
        <v>115051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 s="3">
        <f>Z12+Z13</f>
      </c>
    </row>
    <row r="15" spans="1:2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 s="3">
        <f>Z9+Z14-Z15</f>
      </c>
    </row>
    <row r="17" spans="1:26" x14ac:dyDescent="0.25">
      <c r="A17" s="2" t="s">
        <v>16</v>
      </c>
      <c r="B17" s="3">
        <v>91928</v>
      </c>
      <c r="C17" s="3">
        <v>-24702</v>
      </c>
      <c r="D17" s="3">
        <v>-14961</v>
      </c>
      <c r="E17" s="3">
        <v>-62896</v>
      </c>
      <c r="F17" s="3">
        <v>115986</v>
      </c>
      <c r="G17" s="3">
        <v>5424</v>
      </c>
      <c r="H17" s="3">
        <v>-4718</v>
      </c>
      <c r="I17" s="3">
        <v>-1005</v>
      </c>
      <c r="J17" s="3">
        <v>2384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 s="3">
        <f>Z16-Z17+Z18-Z19+Z20+Z21</f>
      </c>
    </row>
    <row r="23" spans="1:2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x14ac:dyDescent="0.25">
      <c r="A26" s="2" t="s">
        <v>24</v>
      </c>
      <c r="B26" s="3">
        <v>340405</v>
      </c>
      <c r="C26" s="3">
        <v>72490</v>
      </c>
      <c r="D26" s="3">
        <v>176417</v>
      </c>
      <c r="E26" s="3">
        <v>18415</v>
      </c>
      <c r="F26" s="3">
        <v>432663</v>
      </c>
      <c r="G26" s="3">
        <v>-33533</v>
      </c>
      <c r="H26" s="3">
        <v>-13658</v>
      </c>
      <c r="I26" s="3">
        <v>20527</v>
      </c>
      <c r="J26" s="3">
        <v>-99405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 s="3">
        <f>Z22+Z24+Z25+Z26</f>
      </c>
    </row>
    <row r="28" spans="1:26" x14ac:dyDescent="0.25">
      <c r="A28" s="2" t="s">
        <v>26</v>
      </c>
      <c r="B28" s="3">
        <v>81528</v>
      </c>
      <c r="C28" s="3">
        <v>310264</v>
      </c>
      <c r="D28" s="3">
        <v>122049</v>
      </c>
      <c r="E28" s="3">
        <v>248485</v>
      </c>
      <c r="F28" s="3">
        <v>316017</v>
      </c>
      <c r="G28" s="3">
        <v>0</v>
      </c>
      <c r="H28" s="3">
        <v>0</v>
      </c>
      <c r="I28" s="3">
        <v>0</v>
      </c>
      <c r="J28" s="3">
        <v>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 s="3">
        <f>Z27-Z28</f>
      </c>
    </row>
    <row r="30" spans="1:2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 s="4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 s="4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 s="4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 s="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 s="4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 s="4">
        <f>IF(AND(COUNT(Y29,Z29)=2, Z29&lt;&gt;0, Y2&lt;&gt;0), Z27/Y29-1, " ")</f>
      </c>
    </row>
    <row r="37" spans="1:2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v>0</v>
      </c>
      <c r="C39" s="3">
        <v>11492299</v>
      </c>
      <c r="D39" s="3">
        <v>10516215</v>
      </c>
      <c r="E39" s="3">
        <v>10535088</v>
      </c>
      <c r="F39" s="3">
        <v>10555813</v>
      </c>
      <c r="G39" s="3">
        <v>10427989</v>
      </c>
      <c r="H39" s="3">
        <v>9165935</v>
      </c>
      <c r="I39" s="3">
        <v>8670275</v>
      </c>
      <c r="J39" s="3">
        <v>8621825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25">
      <c r="A40" s="2" t="s">
        <v>36</v>
      </c>
      <c r="B40" s="3">
        <v>-1021049</v>
      </c>
      <c r="C40" s="3">
        <v>10295797</v>
      </c>
      <c r="D40" s="3">
        <v>9253312</v>
      </c>
      <c r="E40" s="3">
        <v>9084828</v>
      </c>
      <c r="F40" s="3">
        <v>9417012</v>
      </c>
      <c r="G40" s="3">
        <v>9198187</v>
      </c>
      <c r="H40" s="3">
        <v>7874434</v>
      </c>
      <c r="I40" s="3">
        <v>7563883</v>
      </c>
      <c r="J40" s="3">
        <v>7578384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2023-12-24T00:43:35Z</cp:lastPrinted>
  <dcterms:created xsi:type="dcterms:W3CDTF">2023-12-24T00:43:35Z</dcterms:created>
  <dcterms:modified xsi:type="dcterms:W3CDTF">2023-12-24T00:43:35Z</dcterms:modified>
</cp:coreProperties>
</file>