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<sst xmlns="http://schemas.openxmlformats.org/spreadsheetml/2006/main" count="72" uniqueCount="68">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</sst>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LS" TargetMode="External"/><Relationship Id="rId5" Type="http://schemas.openxmlformats.org/officeDocument/2006/relationships/hyperlink" Target="https://finance.yahoo.com/quote/S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180000</v>
      </c>
      <c r="F2" s="3">
        <v>181071</v>
      </c>
      <c r="G2" s="3">
        <v>344467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30000</v>
      </c>
      <c r="F3" s="3">
        <v>339430</v>
      </c>
      <c r="G3" s="3">
        <v>857911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1485</v>
      </c>
      <c r="D6" s="3">
        <v>26100</v>
      </c>
      <c r="E6" s="3">
        <v>3063903</v>
      </c>
      <c r="F6" s="3">
        <v>4233858</v>
      </c>
      <c r="G6" s="3">
        <v>4150541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9175</v>
      </c>
      <c r="C7" s="3">
        <v>95303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69123</v>
      </c>
      <c r="G11" s="3">
        <v>500391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85771</v>
      </c>
      <c r="F12" s="3">
        <v>-64245</v>
      </c>
      <c r="G12" s="3">
        <v>-11603735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10440</v>
      </c>
      <c r="G22" s="3">
        <v>99755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2000</v>
      </c>
      <c r="C23" s="3">
        <v>50000</v>
      </c>
      <c r="D23" s="3">
        <v>0</v>
      </c>
      <c r="E23" s="3">
        <v>0</v>
      </c>
      <c r="F23" s="3">
        <v>241809</v>
      </c>
      <c r="G23" s="3">
        <v>610402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7175</v>
      </c>
      <c r="C24" s="3">
        <v>16531</v>
      </c>
      <c r="D24" s="3">
        <v>0</v>
      </c>
      <c r="E24" s="3">
        <v>1917206</v>
      </c>
      <c r="F24" s="3">
        <v>556299</v>
      </c>
      <c r="G24" s="3">
        <v>14654090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6000</v>
      </c>
      <c r="G26" s="3">
        <v>-1264379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2929363</v>
      </c>
      <c r="G36" s="3">
        <v>195627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38070</v>
      </c>
      <c r="C37" s="3">
        <v>7813</v>
      </c>
      <c r="D37" s="3">
        <v>0</v>
      </c>
      <c r="E37" s="3">
        <v>183624</v>
      </c>
      <c r="F37" s="3">
        <v>4090661</v>
      </c>
      <c r="G37" s="3">
        <v>3284608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38070</v>
      </c>
      <c r="C38" s="3">
        <v>7813</v>
      </c>
      <c r="D38" s="3">
        <v>85771</v>
      </c>
      <c r="E38" s="3">
        <v>136134</v>
      </c>
      <c r="F38" s="3">
        <v>3429992</v>
      </c>
      <c r="G38" s="3">
        <v>5758391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J37-J38</f>
      </c>
      <c r="E39" s="3">
        <f>K37-K38</f>
      </c>
      <c r="F39" s="3">
        <f>L37-L38</f>
      </c>
      <c r="G39" s="3">
        <f>M37-M38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