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<sst xmlns="http://schemas.openxmlformats.org/spreadsheetml/2006/main" count="74" uniqueCount="71">
  <si>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</si>
  <si>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</si>
  <si>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</si>
  <si>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</si>
  <si>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</si>
  <si>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</si>
  <si>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</si>
  <si>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</si>
  <si>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</si>
  <si>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</si>
  <si>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</si>
  <si>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</si>
  <si>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</si>
  <si>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</si>
  <si>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</si>
  <si>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</si>
  <si>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</si>
  <si>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</si>
  <si>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</si>
  <si>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</si>
  <si>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</si>
  <si>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</si>
  <si>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</si>
  <si>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</si>
  <si>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</si>
  <si>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</si>
  <si>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</si>
  <si>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</si>
  <si>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</si>
  <si>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</si>
  <si>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</si>
  <si>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</si>
  <si>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</si>
  <si>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</si>
  <si>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</si>
  <si>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</si>
  <si>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</si>
  <si>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</si>
  <si>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</si>
  <si>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</si>
  <si>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</si>
  <si>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</si>
  <si>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</si>
  <si>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</si>
  <si>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</si>
  <si>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</si>
  <si>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</si>
  <si>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</si>
  <si>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https://finance.yahoo.com/quote/NABL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</si>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</sst>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B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BL" TargetMode="External"/><Relationship Id="rId5" Type="http://schemas.openxmlformats.org/officeDocument/2006/relationships/hyperlink" Target="https://finance.yahoo.com/quote/NAB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263518</v>
      </c>
      <c r="C2" s="3">
        <v>302871</v>
      </c>
      <c r="D2" s="3">
        <v>346456</v>
      </c>
      <c r="E2" s="3">
        <v>371769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57320</v>
      </c>
      <c r="C3" s="3">
        <v>63173</v>
      </c>
      <c r="D3" s="3">
        <v>52432</v>
      </c>
      <c r="E3" s="3">
        <v>58610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37172</v>
      </c>
      <c r="C5" s="3">
        <v>42719</v>
      </c>
      <c r="D5" s="3">
        <v>53959</v>
      </c>
      <c r="E5" s="3">
        <v>63484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109225</v>
      </c>
      <c r="C6" s="3">
        <v>139365</v>
      </c>
      <c r="D6" s="3">
        <v>193253</v>
      </c>
      <c r="E6" s="3">
        <v>196426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23189</v>
      </c>
      <c r="C7" s="3">
        <v>23848</v>
      </c>
      <c r="D7" s="3">
        <v>13482</v>
      </c>
      <c r="E7" s="3">
        <v>5853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-33805</v>
      </c>
      <c r="C12" s="3">
        <v>-28137</v>
      </c>
      <c r="D12" s="3">
        <v>-20472</v>
      </c>
      <c r="E12" s="3">
        <v>-18852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386</v>
      </c>
      <c r="C13" s="3">
        <v>-773</v>
      </c>
      <c r="D13" s="3">
        <v>-1266</v>
      </c>
      <c r="E13" s="3">
        <v>1881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5705</v>
      </c>
      <c r="C17" s="3">
        <v>12014</v>
      </c>
      <c r="D17" s="3">
        <v>11479</v>
      </c>
      <c r="E17" s="3">
        <v>13718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54139</v>
      </c>
      <c r="C24" s="3">
        <v>56450</v>
      </c>
      <c r="D24" s="3">
        <v>33771</v>
      </c>
      <c r="E24" s="3">
        <v>24440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8662</v>
      </c>
      <c r="C25" s="3">
        <v>21053</v>
      </c>
      <c r="D25" s="3">
        <v>29430</v>
      </c>
      <c r="E25" s="3">
        <v>36527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-34749</v>
      </c>
      <c r="C26" s="3">
        <v>15320</v>
      </c>
      <c r="D26" s="3">
        <v>-17973</v>
      </c>
      <c r="E26" s="3">
        <v>-6261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5793</v>
      </c>
      <c r="C28" s="3">
        <v>11919</v>
      </c>
      <c r="D28" s="3">
        <v>30664</v>
      </c>
      <c r="E28" s="3">
        <v>12834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19590</v>
      </c>
      <c r="D38" s="3">
        <v>38748</v>
      </c>
      <c r="E38" s="3">
        <v>37404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1079735</v>
      </c>
      <c r="D39" s="3">
        <v>1055699</v>
      </c>
      <c r="E39" s="3">
        <v>1078857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-563696</v>
      </c>
      <c r="C40" s="3">
        <v>448538</v>
      </c>
      <c r="D40" s="3">
        <v>436604</v>
      </c>
      <c r="E40" s="3">
        <v>436786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