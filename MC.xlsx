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<sst xmlns="http://schemas.openxmlformats.org/spreadsheetml/2006/main" count="72" uniqueCount="69">
  <si>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</si>
  <si>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</si>
  <si>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</si>
  <si>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</si>
  <si>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</si>
  <si>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</si>
  <si>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</si>
  <si>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</si>
  <si>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</si>
  <si>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</si>
  <si>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</si>
  <si>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</si>
  <si>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</si>
  <si>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</si>
  <si>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</si>
  <si>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</si>
  <si>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</si>
  <si>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</si>
  <si>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</si>
  <si>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</si>
  <si>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</si>
  <si>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</si>
  <si>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</si>
  <si>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</si>
  <si>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</si>
  <si>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</si>
  <si>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</si>
  <si>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</si>
  <si>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</si>
  <si>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</si>
  <si>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</si>
  <si>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</si>
  <si>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</si>
  <si>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</si>
  <si>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</si>
  <si>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</si>
  <si>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</si>
  <si>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</si>
  <si>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</si>
  <si>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</si>
  <si>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</si>
  <si>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</si>
  <si>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</si>
  <si>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</si>
  <si>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</si>
  <si>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</si>
  <si>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https://finance.yahoo.com/quote/MC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</si>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</sst>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MC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MC" TargetMode="External"/><Relationship Id="rId5" Type="http://schemas.openxmlformats.org/officeDocument/2006/relationships/hyperlink" Target="https://finance.yahoo.com/quote/MC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3" x14ac:dyDescent="0.25">
      <c r="A1" s="1" t="s">
        <v>0</v>
      </c>
      <c r="B1" s="2">
        <v>2012</v>
      </c>
      <c r="C1" s="2">
        <v>2013</v>
      </c>
      <c r="D1" s="2">
        <v>2014</v>
      </c>
      <c r="E1" s="2">
        <v>2015</v>
      </c>
      <c r="F1" s="2">
        <v>2016</v>
      </c>
      <c r="G1" s="2">
        <v>2017</v>
      </c>
      <c r="H1" s="2">
        <v>2018</v>
      </c>
      <c r="I1" s="2">
        <v>2019</v>
      </c>
      <c r="J1" s="2">
        <v>2020</v>
      </c>
      <c r="K1" s="2">
        <v>2021</v>
      </c>
      <c r="L1" s="2">
        <v>2022</v>
      </c>
      <c r="M1" s="2">
        <v>2023</v>
      </c>
      <c r="N1" s="2">
        <v>2024</v>
      </c>
      <c r="O1" s="2">
        <v>2025</v>
      </c>
      <c r="P1" s="2">
        <v>2026</v>
      </c>
      <c r="Q1" s="2">
        <v>2027</v>
      </c>
      <c r="R1" s="2">
        <v>2028</v>
      </c>
      <c r="S1" s="2">
        <v>2029</v>
      </c>
      <c r="T1" s="2">
        <v>2030</v>
      </c>
      <c r="U1" s="2">
        <v>2031</v>
      </c>
      <c r="V1" s="2">
        <v>2032</v>
      </c>
      <c r="W1" s="2">
        <v>2033</v>
      </c>
    </row>
    <row r="2" spans="1:23" x14ac:dyDescent="0.25">
      <c r="A2" s="2" t="s">
        <v>1</v>
      </c>
      <c r="B2" s="3">
        <v>0</v>
      </c>
      <c r="C2" s="3">
        <v>0</v>
      </c>
      <c r="D2" s="3">
        <v>0</v>
      </c>
      <c r="E2" s="3">
        <v>0</v>
      </c>
      <c r="F2" s="3">
        <v>0</v>
      </c>
      <c r="G2" s="3">
        <v>0</v>
      </c>
      <c r="H2" s="3">
        <v>0</v>
      </c>
      <c r="I2" s="3">
        <v>0</v>
      </c>
      <c r="J2" s="3">
        <v>0</v>
      </c>
      <c r="K2" s="3">
        <v>0</v>
      </c>
      <c r="L2" s="3">
        <v>0</v>
      </c>
      <c r="M2" s="3"/>
      <c r="N2" s="3"/>
      <c r="O2" s="3"/>
      <c r="P2" s="3"/>
      <c r="Q2" s="3"/>
      <c r="R2" s="3"/>
      <c r="S2" s="3"/>
      <c r="T2" s="3"/>
      <c r="U2" s="3"/>
      <c r="V2" s="3"/>
      <c r="W2" s="3"/>
    </row>
    <row r="3" spans="1:23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>
        <v>0</v>
      </c>
      <c r="G3" s="3">
        <v>0</v>
      </c>
      <c r="H3" s="3">
        <v>0</v>
      </c>
      <c r="I3" s="3">
        <v>0</v>
      </c>
      <c r="J3" s="3">
        <v>0</v>
      </c>
      <c r="K3" s="3">
        <v>0</v>
      </c>
      <c r="L3" s="3">
        <v>0</v>
      </c>
      <c r="M3" s="3"/>
      <c r="N3" s="3"/>
      <c r="O3" s="3"/>
      <c r="P3" s="3"/>
      <c r="Q3" s="3"/>
      <c r="R3" s="3"/>
      <c r="S3" s="3"/>
      <c r="T3" s="3"/>
      <c r="U3" s="3"/>
      <c r="V3" s="3"/>
      <c r="W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>
        <f>X2-X3</f>
      </c>
      <c r="Y4">
        <f>Y2-Y3</f>
      </c>
      <c r="Z4">
        <f>Z2-Z3</f>
      </c>
    </row>
    <row r="5" spans="1:23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/>
      <c r="N5" s="3"/>
      <c r="O5" s="3"/>
      <c r="P5" s="3"/>
      <c r="Q5" s="3"/>
      <c r="R5" s="3"/>
      <c r="S5" s="3"/>
      <c r="T5" s="3"/>
      <c r="U5" s="3"/>
      <c r="V5" s="3"/>
      <c r="W5" s="3"/>
    </row>
    <row r="6" spans="1:23" x14ac:dyDescent="0.25">
      <c r="A6" s="2" t="s">
        <v>5</v>
      </c>
      <c r="B6" s="3">
        <v>29904</v>
      </c>
      <c r="C6" s="3">
        <v>30017</v>
      </c>
      <c r="D6" s="3">
        <v>31747</v>
      </c>
      <c r="E6" s="3">
        <v>35961</v>
      </c>
      <c r="F6" s="3">
        <v>43904</v>
      </c>
      <c r="G6" s="3">
        <v>45818</v>
      </c>
      <c r="H6" s="3">
        <v>53324</v>
      </c>
      <c r="I6" s="3">
        <v>56764</v>
      </c>
      <c r="J6" s="3">
        <v>66922</v>
      </c>
      <c r="K6" s="3">
        <v>69148</v>
      </c>
      <c r="L6" s="3">
        <v>71528</v>
      </c>
      <c r="M6" s="3"/>
      <c r="N6" s="3"/>
      <c r="O6" s="3"/>
      <c r="P6" s="3"/>
      <c r="Q6" s="3"/>
      <c r="R6" s="3"/>
      <c r="S6" s="3"/>
      <c r="T6" s="3"/>
      <c r="U6" s="3"/>
      <c r="V6" s="3"/>
      <c r="W6" s="3"/>
    </row>
    <row r="7" spans="1:23" x14ac:dyDescent="0.25">
      <c r="A7" s="2" t="s">
        <v>6</v>
      </c>
      <c r="B7" s="3">
        <v>317922</v>
      </c>
      <c r="C7" s="3">
        <v>311260</v>
      </c>
      <c r="D7" s="3">
        <v>439259</v>
      </c>
      <c r="E7" s="3">
        <v>378399</v>
      </c>
      <c r="F7" s="3">
        <v>408380</v>
      </c>
      <c r="G7" s="3">
        <v>474515</v>
      </c>
      <c r="H7" s="3">
        <v>605735</v>
      </c>
      <c r="I7" s="3">
        <v>575227</v>
      </c>
      <c r="J7" s="3">
        <v>610645</v>
      </c>
      <c r="K7" s="3">
        <v>975546</v>
      </c>
      <c r="L7" s="3">
        <v>697669</v>
      </c>
      <c r="M7" s="3"/>
      <c r="N7" s="3"/>
      <c r="O7" s="3"/>
      <c r="P7" s="3"/>
      <c r="Q7" s="3"/>
      <c r="R7" s="3"/>
      <c r="S7" s="3"/>
      <c r="T7" s="3"/>
      <c r="U7" s="3"/>
      <c r="V7" s="3"/>
      <c r="W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333</v>
      </c>
      <c r="C10" s="3">
        <v>-771</v>
      </c>
      <c r="D10" s="3">
        <v>736</v>
      </c>
      <c r="E10" s="3">
        <v>2085</v>
      </c>
      <c r="F10" s="3">
        <v>509</v>
      </c>
      <c r="G10" s="3">
        <v>186069</v>
      </c>
      <c r="H10" s="3">
        <v>11671</v>
      </c>
      <c r="I10" s="3">
        <v>32962</v>
      </c>
      <c r="J10" s="3">
        <v>4404</v>
      </c>
      <c r="K10" s="3">
        <v>40396</v>
      </c>
      <c r="L10" s="3">
        <v>220</v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3" x14ac:dyDescent="0.25">
      <c r="A11" s="2" t="s">
        <v>10</v>
      </c>
      <c r="B11" s="3">
        <v>0</v>
      </c>
      <c r="C11" s="3">
        <v>0</v>
      </c>
      <c r="D11" s="3">
        <v>0</v>
      </c>
      <c r="E11" s="3">
        <v>0</v>
      </c>
      <c r="F11" s="3">
        <v>0</v>
      </c>
      <c r="G11" s="3">
        <v>0</v>
      </c>
      <c r="H11" s="3">
        <v>0</v>
      </c>
      <c r="I11" s="3">
        <v>0</v>
      </c>
      <c r="J11" s="3">
        <v>0</v>
      </c>
      <c r="K11" s="3">
        <v>0</v>
      </c>
      <c r="L11" s="3">
        <v>0</v>
      </c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</row>
    <row r="12" spans="1:23" x14ac:dyDescent="0.25">
      <c r="A12" s="2" t="s">
        <v>11</v>
      </c>
      <c r="B12" s="3">
        <v>385871</v>
      </c>
      <c r="C12" s="3">
        <v>411386</v>
      </c>
      <c r="D12" s="3">
        <v>524549</v>
      </c>
      <c r="E12" s="3">
        <v>551863</v>
      </c>
      <c r="F12" s="3">
        <v>613373</v>
      </c>
      <c r="G12" s="3">
        <v>676274</v>
      </c>
      <c r="H12" s="3">
        <v>878678</v>
      </c>
      <c r="I12" s="3">
        <v>746534</v>
      </c>
      <c r="J12" s="3">
        <v>943276</v>
      </c>
      <c r="K12" s="3">
        <v>1540611</v>
      </c>
      <c r="L12" s="3">
        <v>985297</v>
      </c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>
        <f>X10-X11+X12</f>
      </c>
      <c r="Y13">
        <f>Y10-Y11+Y12</f>
      </c>
      <c r="Z13">
        <f>Z10-Z11+Z12</f>
      </c>
    </row>
    <row r="14" spans="1:23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>
        <f>X9+X13-X14</f>
      </c>
      <c r="Y15">
        <f>Y9+Y13-Y14</f>
      </c>
      <c r="Z15">
        <f>Z9+Z13-Z14</f>
      </c>
    </row>
    <row r="16" spans="1:23" x14ac:dyDescent="0.25">
      <c r="A16" s="2" t="s">
        <v>15</v>
      </c>
      <c r="B16" s="3">
        <v>2498</v>
      </c>
      <c r="C16" s="3">
        <v>2794</v>
      </c>
      <c r="D16" s="3">
        <v>13740</v>
      </c>
      <c r="E16" s="3">
        <v>23847</v>
      </c>
      <c r="F16" s="3">
        <v>24809</v>
      </c>
      <c r="G16" s="3">
        <v>223827</v>
      </c>
      <c r="H16" s="3">
        <v>30448</v>
      </c>
      <c r="I16" s="3">
        <v>11813</v>
      </c>
      <c r="J16" s="3">
        <v>51675</v>
      </c>
      <c r="K16" s="3">
        <v>113335</v>
      </c>
      <c r="L16" s="3">
        <v>47638</v>
      </c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</row>
    <row r="17" spans="1:23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</row>
    <row r="18" spans="1:23" x14ac:dyDescent="0.25">
      <c r="A18" s="2" t="s">
        <v>17</v>
      </c>
      <c r="B18" s="3">
        <v>0</v>
      </c>
      <c r="C18" s="3">
        <v>0</v>
      </c>
      <c r="D18" s="3">
        <v>35567</v>
      </c>
      <c r="E18" s="3">
        <v>87113</v>
      </c>
      <c r="F18" s="3">
        <v>103478</v>
      </c>
      <c r="G18" s="3">
        <v>97124</v>
      </c>
      <c r="H18" s="3">
        <v>67324</v>
      </c>
      <c r="I18" s="3">
        <v>30597</v>
      </c>
      <c r="J18" s="3">
        <v>39607</v>
      </c>
      <c r="K18" s="3">
        <v>57765</v>
      </c>
      <c r="L18" s="3">
        <v>18337</v>
      </c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</row>
    <row r="19" spans="1:23" x14ac:dyDescent="0.25">
      <c r="A19" s="2" t="s">
        <v>18</v>
      </c>
      <c r="B19" s="3">
        <v>-658</v>
      </c>
      <c r="C19" s="3">
        <v>3681</v>
      </c>
      <c r="D19" s="3">
        <v>-2185</v>
      </c>
      <c r="E19" s="3">
        <v>4476</v>
      </c>
      <c r="F19" s="3">
        <v>5076</v>
      </c>
      <c r="G19" s="3">
        <v>8341</v>
      </c>
      <c r="H19" s="3">
        <v>7162</v>
      </c>
      <c r="I19" s="3">
        <v>0</v>
      </c>
      <c r="J19" s="3">
        <v>0</v>
      </c>
      <c r="K19" s="3">
        <v>0</v>
      </c>
      <c r="L19" s="3">
        <v>0</v>
      </c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>
        <f>X15-X16+X17-X18+X19</f>
      </c>
      <c r="Y20">
        <f>Y15-Y16+Y17-Y18+Y19</f>
      </c>
      <c r="Z20">
        <f>Z15-Z16+Z17-Z18+Z19</f>
      </c>
    </row>
    <row r="21" spans="1:23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</row>
    <row r="22" spans="1:23" x14ac:dyDescent="0.25">
      <c r="A22" s="2" t="s">
        <v>20</v>
      </c>
      <c r="B22" s="3">
        <v>2507</v>
      </c>
      <c r="C22" s="3">
        <v>2296</v>
      </c>
      <c r="D22" s="3">
        <v>2268</v>
      </c>
      <c r="E22" s="3">
        <v>2635</v>
      </c>
      <c r="F22" s="3">
        <v>3183</v>
      </c>
      <c r="G22" s="3">
        <v>3544</v>
      </c>
      <c r="H22" s="3">
        <v>4625</v>
      </c>
      <c r="I22" s="3">
        <v>4965</v>
      </c>
      <c r="J22" s="3">
        <v>4708</v>
      </c>
      <c r="K22" s="3">
        <v>7242</v>
      </c>
      <c r="L22" s="3">
        <v>7975</v>
      </c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</row>
    <row r="23" spans="1:23" x14ac:dyDescent="0.25">
      <c r="A23" s="2" t="s">
        <v>21</v>
      </c>
      <c r="B23" s="3">
        <v>42044</v>
      </c>
      <c r="C23" s="3">
        <v>49359</v>
      </c>
      <c r="D23" s="3">
        <v>119756</v>
      </c>
      <c r="E23" s="3">
        <v>46131</v>
      </c>
      <c r="F23" s="3">
        <v>77050</v>
      </c>
      <c r="G23" s="3">
        <v>96295</v>
      </c>
      <c r="H23" s="3">
        <v>123037</v>
      </c>
      <c r="I23" s="3">
        <v>124212</v>
      </c>
      <c r="J23" s="3">
        <v>133623</v>
      </c>
      <c r="K23" s="3">
        <v>167938</v>
      </c>
      <c r="L23" s="3">
        <v>128938</v>
      </c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</row>
    <row r="24" spans="1:23" x14ac:dyDescent="0.25">
      <c r="A24" s="2" t="s">
        <v>22</v>
      </c>
      <c r="B24" s="3">
        <v>-79773</v>
      </c>
      <c r="C24" s="3">
        <v>-121880</v>
      </c>
      <c r="D24" s="3">
        <v>-124811</v>
      </c>
      <c r="E24" s="3">
        <v>60894</v>
      </c>
      <c r="F24" s="3">
        <v>112954</v>
      </c>
      <c r="G24" s="3">
        <v>103944</v>
      </c>
      <c r="H24" s="3">
        <v>122547</v>
      </c>
      <c r="I24" s="3">
        <v>-24965</v>
      </c>
      <c r="J24" s="3">
        <v>112053</v>
      </c>
      <c r="K24" s="3">
        <v>396587</v>
      </c>
      <c r="L24" s="3">
        <v>-254264</v>
      </c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>
        <f>X20+X22+X23+X24</f>
      </c>
      <c r="Y25">
        <f>Y20+Y22+Y23+Y24</f>
      </c>
      <c r="Z25">
        <f>Z20+Z22+Z23+Z24</f>
      </c>
    </row>
    <row r="26" spans="1:23" x14ac:dyDescent="0.25">
      <c r="A26" s="2" t="s">
        <v>24</v>
      </c>
      <c r="B26" s="3">
        <v>3682</v>
      </c>
      <c r="C26" s="3">
        <v>1623</v>
      </c>
      <c r="D26" s="3">
        <v>3888</v>
      </c>
      <c r="E26" s="3">
        <v>3996</v>
      </c>
      <c r="F26" s="3">
        <v>2870</v>
      </c>
      <c r="G26" s="3">
        <v>5647</v>
      </c>
      <c r="H26" s="3">
        <v>6920</v>
      </c>
      <c r="I26" s="3">
        <v>6467</v>
      </c>
      <c r="J26" s="3">
        <v>40659</v>
      </c>
      <c r="K26" s="3">
        <v>16426</v>
      </c>
      <c r="L26" s="3">
        <v>5957</v>
      </c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>
        <f>X25-X26</f>
      </c>
      <c r="Y27">
        <f>Y25-Y26</f>
      </c>
      <c r="Z27">
        <f>Z25-Z26</f>
      </c>
    </row>
    <row r="28" spans="1:23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23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</row>
    <row r="36" spans="1:23" x14ac:dyDescent="0.25">
      <c r="A36" s="2" t="s">
        <v>32</v>
      </c>
      <c r="B36" s="3">
        <v>0</v>
      </c>
      <c r="C36" s="3">
        <v>5156</v>
      </c>
      <c r="D36" s="3">
        <v>7338</v>
      </c>
      <c r="E36" s="3">
        <v>8698</v>
      </c>
      <c r="F36" s="3">
        <v>8397</v>
      </c>
      <c r="G36" s="3">
        <v>10458</v>
      </c>
      <c r="H36" s="3">
        <v>12731</v>
      </c>
      <c r="I36" s="3">
        <v>13992</v>
      </c>
      <c r="J36" s="3">
        <v>49977</v>
      </c>
      <c r="K36" s="3">
        <v>59163</v>
      </c>
      <c r="L36" s="3">
        <v>57152</v>
      </c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</row>
    <row r="37" spans="1:23" x14ac:dyDescent="0.25">
      <c r="A37" s="2" t="s">
        <v>33</v>
      </c>
      <c r="B37" s="3">
        <v>0</v>
      </c>
      <c r="C37" s="3">
        <v>443463</v>
      </c>
      <c r="D37" s="3">
        <v>464249</v>
      </c>
      <c r="E37" s="3">
        <v>539461</v>
      </c>
      <c r="F37" s="3">
        <v>598800</v>
      </c>
      <c r="G37" s="3">
        <v>699068</v>
      </c>
      <c r="H37" s="3">
        <v>914375</v>
      </c>
      <c r="I37" s="3">
        <v>1071699</v>
      </c>
      <c r="J37" s="3">
        <v>1196444</v>
      </c>
      <c r="K37" s="3">
        <v>1555681</v>
      </c>
      <c r="L37" s="3">
        <v>1216869</v>
      </c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</row>
    <row r="38" spans="1:23" x14ac:dyDescent="0.25">
      <c r="A38" s="2" t="s">
        <v>34</v>
      </c>
      <c r="B38" s="3">
        <v>0</v>
      </c>
      <c r="C38" s="3">
        <v>134093</v>
      </c>
      <c r="D38" s="3">
        <v>350872</v>
      </c>
      <c r="E38" s="3">
        <v>371087</v>
      </c>
      <c r="F38" s="3">
        <v>386955</v>
      </c>
      <c r="G38" s="3">
        <v>374118</v>
      </c>
      <c r="H38" s="3">
        <v>510014</v>
      </c>
      <c r="I38" s="3">
        <v>628872</v>
      </c>
      <c r="J38" s="3">
        <v>716496</v>
      </c>
      <c r="K38" s="3">
        <v>1066613</v>
      </c>
      <c r="L38" s="3">
        <v>772374</v>
      </c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</row>
    <row r="39" spans="1:23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2023-12-22T01:46:41Z</cp:lastPrinted>
  <dcterms:created xsi:type="dcterms:W3CDTF">2023-12-22T01:46:41Z</dcterms:created>
  <dcterms:modified xsi:type="dcterms:W3CDTF">2023-12-22T01:46:41Z</dcterms:modified>
</cp:coreProperties>
</file>