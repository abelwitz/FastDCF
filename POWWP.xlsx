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<sst xmlns="http://schemas.openxmlformats.org/spreadsheetml/2006/main" count="72" uniqueCount="68">
  <si>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</si>
  <si>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</si>
  <si>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</si>
  <si>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</si>
  <si>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</si>
  <si>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</si>
  <si>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</si>
  <si>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</si>
  <si>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</si>
  <si>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</si>
  <si>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</si>
  <si>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</si>
  <si>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</si>
  <si>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</si>
  <si>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</si>
  <si>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</si>
  <si>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</si>
  <si>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</si>
  <si>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</si>
  <si>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</si>
  <si>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</si>
  <si>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</si>
  <si>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</si>
  <si>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</si>
  <si>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</si>
  <si>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</si>
  <si>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</si>
  <si>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</si>
  <si>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</si>
  <si>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</si>
  <si>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</si>
  <si>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</si>
  <si>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</si>
  <si>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</si>
  <si>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</si>
  <si>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</si>
  <si>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</si>
  <si>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</si>
  <si>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</si>
  <si>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</si>
  <si>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</si>
  <si>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</si>
  <si>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</si>
  <si>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</si>
  <si>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</si>
  <si>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https://finance.yahoo.com/quote/POWWP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</si>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</sst>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OWW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OWWP" TargetMode="External"/><Relationship Id="rId5" Type="http://schemas.openxmlformats.org/officeDocument/2006/relationships/hyperlink" Target="https://finance.yahoo.com/quote/POWW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1294861</v>
      </c>
      <c r="H2" s="3">
        <v>1960688</v>
      </c>
      <c r="I2" s="3">
        <v>4565652</v>
      </c>
      <c r="J2" s="3">
        <v>14780365</v>
      </c>
      <c r="K2" s="3">
        <v>62482330</v>
      </c>
      <c r="L2" s="3">
        <v>240269166</v>
      </c>
      <c r="M2" s="3">
        <v>191439801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1303586</v>
      </c>
      <c r="H3" s="3">
        <v>1667614</v>
      </c>
      <c r="I3" s="3">
        <v>4795346</v>
      </c>
      <c r="J3" s="3">
        <v>18455904</v>
      </c>
      <c r="K3" s="3">
        <v>51095679</v>
      </c>
      <c r="L3" s="3">
        <v>151505657</v>
      </c>
      <c r="M3" s="3">
        <v>136031204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2975</v>
      </c>
      <c r="E6" s="3">
        <v>2127</v>
      </c>
      <c r="F6" s="3">
        <v>140589</v>
      </c>
      <c r="G6" s="3">
        <v>2913551</v>
      </c>
      <c r="H6" s="3">
        <v>1175277</v>
      </c>
      <c r="I6" s="3">
        <v>4799495</v>
      </c>
      <c r="J6" s="3">
        <v>4923923</v>
      </c>
      <c r="K6" s="3">
        <v>15107392</v>
      </c>
      <c r="L6" s="3">
        <v>37911999</v>
      </c>
      <c r="M6" s="3">
        <v>45388754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21565</v>
      </c>
      <c r="C7" s="3">
        <v>12607</v>
      </c>
      <c r="D7" s="3">
        <v>1988</v>
      </c>
      <c r="E7" s="3">
        <v>1243</v>
      </c>
      <c r="F7" s="3">
        <v>-4315</v>
      </c>
      <c r="G7" s="3">
        <v>1053952</v>
      </c>
      <c r="H7" s="3">
        <v>920111</v>
      </c>
      <c r="I7" s="3">
        <v>3951469</v>
      </c>
      <c r="J7" s="3">
        <v>5238031</v>
      </c>
      <c r="K7" s="3">
        <v>1659244</v>
      </c>
      <c r="L7" s="3">
        <v>13702148</v>
      </c>
      <c r="M7" s="3">
        <v>13278762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-2728754</v>
      </c>
      <c r="L10" s="3">
        <v>-719187</v>
      </c>
      <c r="M10" s="3">
        <v>-2432309</v>
      </c>
      <c r="N10" s="3">
        <v>-615957</v>
      </c>
      <c r="O10" s="3">
        <v>-606881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-11488</v>
      </c>
      <c r="C11" s="3">
        <v>-12837</v>
      </c>
      <c r="D11" s="3">
        <v>-16158</v>
      </c>
      <c r="E11" s="3">
        <v>-15861</v>
      </c>
      <c r="F11" s="3">
        <v>18750</v>
      </c>
      <c r="G11" s="3">
        <v>532752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-23776</v>
      </c>
      <c r="C12" s="3">
        <v>-26473</v>
      </c>
      <c r="D12" s="3">
        <v>-33116</v>
      </c>
      <c r="E12" s="3">
        <v>-32522</v>
      </c>
      <c r="F12" s="3">
        <v>0</v>
      </c>
      <c r="G12" s="3">
        <v>-1279921</v>
      </c>
      <c r="H12" s="3">
        <v>5086</v>
      </c>
      <c r="I12" s="3">
        <v>17583155</v>
      </c>
      <c r="J12" s="3">
        <v>48727873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3285969</v>
      </c>
      <c r="M16" s="3">
        <v>730238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148860</v>
      </c>
      <c r="H22" s="3">
        <v>72258</v>
      </c>
      <c r="I22" s="3">
        <v>599863</v>
      </c>
      <c r="J22" s="3">
        <v>4455962</v>
      </c>
      <c r="K22" s="3">
        <v>4876756</v>
      </c>
      <c r="L22" s="3">
        <v>17339093</v>
      </c>
      <c r="M22" s="3">
        <v>17519949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33853</v>
      </c>
      <c r="C24" s="3">
        <v>26243</v>
      </c>
      <c r="D24" s="3">
        <v>17568</v>
      </c>
      <c r="E24" s="3">
        <v>18511</v>
      </c>
      <c r="F24" s="3">
        <v>-1767360</v>
      </c>
      <c r="G24" s="3">
        <v>2360674</v>
      </c>
      <c r="H24" s="3">
        <v>-554813</v>
      </c>
      <c r="I24" s="3">
        <v>-13768613</v>
      </c>
      <c r="J24" s="3">
        <v>-43986590</v>
      </c>
      <c r="K24" s="3">
        <v>-11480022</v>
      </c>
      <c r="L24" s="3">
        <v>-47733946</v>
      </c>
      <c r="M24" s="3">
        <v>22632455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304188</v>
      </c>
      <c r="H26" s="3">
        <v>507181</v>
      </c>
      <c r="I26" s="3">
        <v>2291907</v>
      </c>
      <c r="J26" s="3">
        <v>462385</v>
      </c>
      <c r="K26" s="3">
        <v>7437265</v>
      </c>
      <c r="L26" s="3">
        <v>19218982</v>
      </c>
      <c r="M26" s="3">
        <v>12541325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769442</v>
      </c>
      <c r="H36" s="3">
        <v>1241326</v>
      </c>
      <c r="I36" s="3">
        <v>21999787</v>
      </c>
      <c r="J36" s="3">
        <v>18046329</v>
      </c>
      <c r="K36" s="3">
        <v>21553226</v>
      </c>
      <c r="L36" s="3">
        <v>37637806</v>
      </c>
      <c r="M36" s="3">
        <v>55963255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3029155</v>
      </c>
      <c r="G37" s="3">
        <v>4917504</v>
      </c>
      <c r="H37" s="3">
        <v>10672711</v>
      </c>
      <c r="I37" s="3">
        <v>43587164</v>
      </c>
      <c r="J37" s="3">
        <v>41105736</v>
      </c>
      <c r="K37" s="3">
        <v>179379341</v>
      </c>
      <c r="L37" s="3">
        <v>414178313</v>
      </c>
      <c r="M37" s="3">
        <v>412335387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202616</v>
      </c>
      <c r="C38" s="3">
        <v>228859</v>
      </c>
      <c r="D38" s="3">
        <v>300304</v>
      </c>
      <c r="E38" s="3">
        <v>318815</v>
      </c>
      <c r="F38" s="3">
        <v>2536745</v>
      </c>
      <c r="G38" s="3">
        <v>2413547</v>
      </c>
      <c r="H38" s="3">
        <v>1120582</v>
      </c>
      <c r="I38" s="3">
        <v>14058231</v>
      </c>
      <c r="J38" s="3">
        <v>21846943</v>
      </c>
      <c r="K38" s="3">
        <v>19031812</v>
      </c>
      <c r="L38" s="3">
        <v>39874747</v>
      </c>
      <c r="M38" s="3">
        <v>39739302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F37-F38</f>
      </c>
      <c r="E39" s="3">
        <f>G37-G38</f>
      </c>
      <c r="F39" s="3">
        <f>H37-H38</f>
      </c>
      <c r="G39" s="3">
        <f>I37-I38</f>
      </c>
      <c r="H39" s="3">
        <f>J37-J38</f>
      </c>
      <c r="I39" s="3">
        <f>K37-K38</f>
      </c>
      <c r="J39" s="3">
        <f>L37-L38</f>
      </c>
      <c r="K39" s="3">
        <f>M37-M38</f>
      </c>
      <c r="L39" s="3">
        <f>N37-N38</f>
      </c>
      <c r="M39" s="3">
        <f>O37-O38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