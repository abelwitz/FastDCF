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<sst xmlns="http://schemas.openxmlformats.org/spreadsheetml/2006/main" count="72" uniqueCount="68">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</sst>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23" x14ac:dyDescent="0.25">
      <c r="A1" s="1" t="s">
        <v>0</v>
      </c>
      <c r="B1" s="2">
        <v>2012</v>
      </c>
      <c r="C1" s="2">
        <v>2013</v>
      </c>
      <c r="D1" s="2">
        <v>2014</v>
      </c>
      <c r="E1" s="2">
        <v>2015</v>
      </c>
      <c r="F1" s="2">
        <v>2016</v>
      </c>
      <c r="G1" s="2">
        <v>2017</v>
      </c>
      <c r="H1" s="2">
        <v>2018</v>
      </c>
      <c r="I1" s="2">
        <v>2019</v>
      </c>
      <c r="J1" s="2">
        <v>2020</v>
      </c>
      <c r="K1" s="2">
        <v>2021</v>
      </c>
      <c r="L1" s="2">
        <v>2022</v>
      </c>
      <c r="M1" s="2">
        <v>2023</v>
      </c>
      <c r="N1" s="2">
        <v>2024</v>
      </c>
      <c r="O1" s="2">
        <v>2025</v>
      </c>
      <c r="P1" s="2">
        <v>2026</v>
      </c>
      <c r="Q1" s="2">
        <v>2027</v>
      </c>
      <c r="R1" s="2">
        <v>2028</v>
      </c>
      <c r="S1" s="2">
        <v>2029</v>
      </c>
      <c r="T1" s="2">
        <v>2030</v>
      </c>
      <c r="U1" s="2">
        <v>2031</v>
      </c>
      <c r="V1" s="2">
        <v>2032</v>
      </c>
      <c r="W1" s="2">
        <v>2033</v>
      </c>
    </row>
    <row r="2" spans="1:23" x14ac:dyDescent="0.25">
      <c r="A2" s="2" t="s">
        <v>1</v>
      </c>
      <c r="B2" s="3">
        <v>329228</v>
      </c>
      <c r="C2" s="3">
        <v>244469</v>
      </c>
      <c r="D2" s="3">
        <v>78497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spans="1:23" x14ac:dyDescent="0.25">
      <c r="A3" s="2" t="s">
        <v>2</v>
      </c>
      <c r="B3" s="3">
        <v>109177</v>
      </c>
      <c r="C3" s="3">
        <v>97380</v>
      </c>
      <c r="D3" s="3">
        <v>17780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 s="3">
        <f>O2-O3</f>
      </c>
      <c r="P4" s="3">
        <f>P2-P3</f>
      </c>
      <c r="Q4" s="3">
        <f>Q2-Q3</f>
      </c>
      <c r="R4" s="3">
        <f>R2-R3</f>
      </c>
      <c r="S4" s="3">
        <f>S2-S3</f>
      </c>
      <c r="T4" s="3">
        <f>T2-T3</f>
      </c>
      <c r="U4" s="3">
        <f>U2-U3</f>
      </c>
      <c r="V4" s="3">
        <f>V2-V3</f>
      </c>
      <c r="W4" s="3">
        <f>W2-W3</f>
      </c>
      <c r="X4">
        <f>X2-X3</f>
      </c>
      <c r="Y4">
        <f>Y2-Y3</f>
      </c>
      <c r="Z4">
        <f>Z2-Z3</f>
      </c>
    </row>
    <row r="5" spans="1:23" x14ac:dyDescent="0.25">
      <c r="A5" s="2" t="s">
        <v>4</v>
      </c>
      <c r="B5" s="3">
        <v>0</v>
      </c>
      <c r="C5" s="3">
        <v>0</v>
      </c>
      <c r="D5" s="3">
        <v>0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spans="1:23" x14ac:dyDescent="0.25">
      <c r="A6" s="2" t="s">
        <v>5</v>
      </c>
      <c r="B6" s="3">
        <v>14050</v>
      </c>
      <c r="C6" s="3">
        <v>244793</v>
      </c>
      <c r="D6" s="3">
        <v>198039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spans="1:23" x14ac:dyDescent="0.25">
      <c r="A7" s="2" t="s">
        <v>6</v>
      </c>
      <c r="B7" s="3">
        <v>530970</v>
      </c>
      <c r="C7" s="3">
        <v>2123397</v>
      </c>
      <c r="D7" s="3">
        <v>249880</v>
      </c>
      <c r="E7" s="3"/>
      <c r="F7" s="3"/>
      <c r="G7" s="3"/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 s="3">
        <f>O5+O6+O7</f>
      </c>
      <c r="P8" s="3">
        <f>P5+P6+P7</f>
      </c>
      <c r="Q8" s="3">
        <f>Q5+Q6+Q7</f>
      </c>
      <c r="R8" s="3">
        <f>R5+R6+R7</f>
      </c>
      <c r="S8" s="3">
        <f>S5+S6+S7</f>
      </c>
      <c r="T8" s="3">
        <f>T5+T6+T7</f>
      </c>
      <c r="U8" s="3">
        <f>U5+U6+U7</f>
      </c>
      <c r="V8" s="3">
        <f>V5+V6+V7</f>
      </c>
      <c r="W8" s="3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 s="3">
        <f>O4-O8</f>
      </c>
      <c r="P9" s="3">
        <f>P4-P8</f>
      </c>
      <c r="Q9" s="3">
        <f>Q4-Q8</f>
      </c>
      <c r="R9" s="3">
        <f>R4-R8</f>
      </c>
      <c r="S9" s="3">
        <f>S4-S8</f>
      </c>
      <c r="T9" s="3">
        <f>T4-T8</f>
      </c>
      <c r="U9" s="3">
        <f>U4-U8</f>
      </c>
      <c r="V9" s="3">
        <f>V4-V8</f>
      </c>
      <c r="W9" s="3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0</v>
      </c>
      <c r="C10" s="3">
        <v>-292833</v>
      </c>
      <c r="D10" s="3">
        <v>22781</v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23" x14ac:dyDescent="0.25">
      <c r="A11" s="2" t="s">
        <v>10</v>
      </c>
      <c r="B11" s="3">
        <v>-4159</v>
      </c>
      <c r="C11" s="3">
        <v>326805</v>
      </c>
      <c r="D11" s="3">
        <v>289864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spans="1:23" x14ac:dyDescent="0.25">
      <c r="A12" s="2" t="s">
        <v>11</v>
      </c>
      <c r="B12" s="3">
        <v>11537</v>
      </c>
      <c r="C12" s="3">
        <v>103420</v>
      </c>
      <c r="D12" s="3">
        <v>-82514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 s="3">
        <f>O10-O11+O12</f>
      </c>
      <c r="P13" s="3">
        <f>P10-P11+P12</f>
      </c>
      <c r="Q13" s="3">
        <f>Q10-Q11+Q12</f>
      </c>
      <c r="R13" s="3">
        <f>R10-R11+R12</f>
      </c>
      <c r="S13" s="3">
        <f>S10-S11+S12</f>
      </c>
      <c r="T13" s="3">
        <f>T10-T11+T12</f>
      </c>
      <c r="U13" s="3">
        <f>U10-U11+U12</f>
      </c>
      <c r="V13" s="3">
        <f>V10-V11+V12</f>
      </c>
      <c r="W13" s="3">
        <f>W10-W11+W12</f>
      </c>
      <c r="X13">
        <f>X10-X11+X12</f>
      </c>
      <c r="Y13">
        <f>Y10-Y11+Y12</f>
      </c>
      <c r="Z13">
        <f>Z10-Z11+Z12</f>
      </c>
    </row>
    <row r="14" spans="1:23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 s="3">
        <f>O9+O13-O14</f>
      </c>
      <c r="P15" s="3">
        <f>P9+P13-P14</f>
      </c>
      <c r="Q15" s="3">
        <f>Q9+Q13-Q14</f>
      </c>
      <c r="R15" s="3">
        <f>R9+R13-R14</f>
      </c>
      <c r="S15" s="3">
        <f>S9+S13-S14</f>
      </c>
      <c r="T15" s="3">
        <f>T9+T13-T14</f>
      </c>
      <c r="U15" s="3">
        <f>U9+U13-U14</f>
      </c>
      <c r="V15" s="3">
        <f>V9+V13-V14</f>
      </c>
      <c r="W15" s="3">
        <f>W9+W13-W14</f>
      </c>
      <c r="X15">
        <f>X9+X13-X14</f>
      </c>
      <c r="Y15">
        <f>Y9+Y13-Y14</f>
      </c>
      <c r="Z15">
        <f>Z9+Z13-Z14</f>
      </c>
    </row>
    <row r="16" spans="1:23" x14ac:dyDescent="0.25">
      <c r="A16" s="2" t="s">
        <v>15</v>
      </c>
      <c r="B16" s="3">
        <v>0</v>
      </c>
      <c r="C16" s="3">
        <v>0</v>
      </c>
      <c r="D16" s="3">
        <v>0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</row>
    <row r="17" spans="1:23" x14ac:dyDescent="0.25">
      <c r="A17" s="2" t="s">
        <v>16</v>
      </c>
      <c r="B17" s="3">
        <v>0</v>
      </c>
      <c r="C17" s="3">
        <v>0</v>
      </c>
      <c r="D17" s="3">
        <v>0</v>
      </c>
      <c r="E17" s="3"/>
      <c r="F17" s="3"/>
      <c r="G17" s="3"/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</row>
    <row r="18" spans="1:23" x14ac:dyDescent="0.25">
      <c r="A18" s="2" t="s">
        <v>17</v>
      </c>
      <c r="B18" s="3">
        <v>0</v>
      </c>
      <c r="C18" s="3">
        <v>0</v>
      </c>
      <c r="D18" s="3">
        <v>0</v>
      </c>
      <c r="E18" s="3"/>
      <c r="F18" s="3"/>
      <c r="G18" s="3"/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spans="1:23" x14ac:dyDescent="0.25">
      <c r="A19" s="2" t="s">
        <v>18</v>
      </c>
      <c r="B19" s="3">
        <v>0</v>
      </c>
      <c r="C19" s="3">
        <v>0</v>
      </c>
      <c r="D19" s="3">
        <v>0</v>
      </c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 s="3">
        <f>O15-O16+O17-O18+O19</f>
      </c>
      <c r="P20" s="3">
        <f>P15-P16+P17-P18+P19</f>
      </c>
      <c r="Q20" s="3">
        <f>Q15-Q16+Q17-Q18+Q19</f>
      </c>
      <c r="R20" s="3">
        <f>R15-R16+R17-R18+R19</f>
      </c>
      <c r="S20" s="3">
        <f>S15-S16+S17-S18+S19</f>
      </c>
      <c r="T20" s="3">
        <f>T15-T16+T17-T18+T19</f>
      </c>
      <c r="U20" s="3">
        <f>U15-U16+U17-U18+U19</f>
      </c>
      <c r="V20" s="3">
        <f>V15-V16+V17-V18+V19</f>
      </c>
      <c r="W20" s="3">
        <f>W15-W16+W17-W18+W19</f>
      </c>
      <c r="X20">
        <f>X15-X16+X17-X18+X19</f>
      </c>
      <c r="Y20">
        <f>Y15-Y16+Y17-Y18+Y19</f>
      </c>
      <c r="Z20">
        <f>Z15-Z16+Z17-Z18+Z19</f>
      </c>
    </row>
    <row r="21" spans="1:23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spans="1:23" x14ac:dyDescent="0.25">
      <c r="A22" s="2" t="s">
        <v>20</v>
      </c>
      <c r="B22" s="3">
        <v>14050</v>
      </c>
      <c r="C22" s="3">
        <v>5068</v>
      </c>
      <c r="D22" s="3">
        <v>1558</v>
      </c>
      <c r="E22" s="3"/>
      <c r="F22" s="3"/>
      <c r="G22" s="3"/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spans="1:23" x14ac:dyDescent="0.25">
      <c r="A23" s="2" t="s">
        <v>21</v>
      </c>
      <c r="B23" s="3">
        <v>0</v>
      </c>
      <c r="C23" s="3">
        <v>0</v>
      </c>
      <c r="D23" s="3">
        <v>0</v>
      </c>
      <c r="E23" s="3"/>
      <c r="F23" s="3"/>
      <c r="G23" s="3"/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spans="1:23" x14ac:dyDescent="0.25">
      <c r="A24" s="2" t="s">
        <v>22</v>
      </c>
      <c r="B24" s="3">
        <v>207412</v>
      </c>
      <c r="C24" s="3">
        <v>2511249</v>
      </c>
      <c r="D24" s="3">
        <v>508273</v>
      </c>
      <c r="E24" s="3"/>
      <c r="F24" s="3"/>
      <c r="G24" s="3"/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 s="3">
        <f>O20+O22+O23+O24</f>
      </c>
      <c r="P25" s="3">
        <f>P20+P22+P23+P24</f>
      </c>
      <c r="Q25" s="3">
        <f>Q20+Q22+Q23+Q24</f>
      </c>
      <c r="R25" s="3">
        <f>R20+R22+R23+R24</f>
      </c>
      <c r="S25" s="3">
        <f>S20+S22+S23+S24</f>
      </c>
      <c r="T25" s="3">
        <f>T20+T22+T23+T24</f>
      </c>
      <c r="U25" s="3">
        <f>U20+U22+U23+U24</f>
      </c>
      <c r="V25" s="3">
        <f>V20+V22+V23+V24</f>
      </c>
      <c r="W25" s="3">
        <f>W20+W22+W23+W24</f>
      </c>
      <c r="X25">
        <f>X20+X22+X23+X24</f>
      </c>
      <c r="Y25">
        <f>Y20+Y22+Y23+Y24</f>
      </c>
      <c r="Z25">
        <f>Z20+Z22+Z23+Z24</f>
      </c>
    </row>
    <row r="26" spans="1:23" x14ac:dyDescent="0.25">
      <c r="A26" s="2" t="s">
        <v>24</v>
      </c>
      <c r="B26" s="3">
        <v>35385</v>
      </c>
      <c r="C26" s="3">
        <v>-11219</v>
      </c>
      <c r="D26" s="3">
        <v>-565</v>
      </c>
      <c r="E26" s="3"/>
      <c r="F26" s="3"/>
      <c r="G26" s="3"/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 s="3">
        <f>O25-O26</f>
      </c>
      <c r="P27" s="3">
        <f>P25-P26</f>
      </c>
      <c r="Q27" s="3">
        <f>Q25-Q26</f>
      </c>
      <c r="R27" s="3">
        <f>R25-R26</f>
      </c>
      <c r="S27" s="3">
        <f>S25-S26</f>
      </c>
      <c r="T27" s="3">
        <f>T25-T26</f>
      </c>
      <c r="U27" s="3">
        <f>U25-U26</f>
      </c>
      <c r="V27" s="3">
        <f>V25-V26</f>
      </c>
      <c r="W27" s="3">
        <f>W25-W26</f>
      </c>
      <c r="X27">
        <f>X25-X26</f>
      </c>
      <c r="Y27">
        <f>Y25-Y26</f>
      </c>
      <c r="Z27">
        <f>Z25-Z26</f>
      </c>
    </row>
    <row r="28" spans="1:23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 s="4">
        <f>IF(AND(COUNT(N2,O2)=2, O2&lt;&gt;0, N2&lt;&gt;0), O2/N2-1, " ")</f>
      </c>
      <c r="P29" s="4">
        <f>IF(AND(COUNT(O2,P2)=2, P2&lt;&gt;0, O2&lt;&gt;0), P2/O2-1, " ")</f>
      </c>
      <c r="Q29" s="4">
        <f>IF(AND(COUNT(P2,Q2)=2, Q2&lt;&gt;0, P2&lt;&gt;0), Q2/P2-1, " ")</f>
      </c>
      <c r="R29" s="4">
        <f>IF(AND(COUNT(Q2,R2)=2, R2&lt;&gt;0, Q2&lt;&gt;0), R2/Q2-1, " ")</f>
      </c>
      <c r="S29" s="4">
        <f>IF(AND(COUNT(R2,S2)=2, S2&lt;&gt;0, R2&lt;&gt;0), S2/R2-1, " ")</f>
      </c>
      <c r="T29" s="4">
        <f>IF(AND(COUNT(S2,T2)=2, T2&lt;&gt;0, S2&lt;&gt;0), T2/S2-1, " ")</f>
      </c>
      <c r="U29" s="4">
        <f>IF(AND(COUNT(T2,U2)=2, U2&lt;&gt;0, T2&lt;&gt;0), U2/T2-1, " ")</f>
      </c>
      <c r="V29" s="4">
        <f>IF(AND(COUNT(U2,V2)=2, V2&lt;&gt;0, U2&lt;&gt;0), V2/U2-1, " ")</f>
      </c>
      <c r="W29" s="4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 s="4">
        <f>IF(AND(COUNT(O2,O4)=2, O2&lt;&gt;0), O4/O2, " ")</f>
      </c>
      <c r="P30" s="4">
        <f>IF(AND(COUNT(P2,P4)=2, P2&lt;&gt;0), P4/P2, " ")</f>
      </c>
      <c r="Q30" s="4">
        <f>IF(AND(COUNT(Q2,Q4)=2, Q2&lt;&gt;0), Q4/Q2, " ")</f>
      </c>
      <c r="R30" s="4">
        <f>IF(AND(COUNT(R2,R4)=2, R2&lt;&gt;0), R4/R2, " ")</f>
      </c>
      <c r="S30" s="4">
        <f>IF(AND(COUNT(S2,S4)=2, S2&lt;&gt;0), S4/S2, " ")</f>
      </c>
      <c r="T30" s="4">
        <f>IF(AND(COUNT(T2,T4)=2, T2&lt;&gt;0), T4/T2, " ")</f>
      </c>
      <c r="U30" s="4">
        <f>IF(AND(COUNT(U2,U4)=2, U2&lt;&gt;0), U4/U2, " ")</f>
      </c>
      <c r="V30" s="4">
        <f>IF(AND(COUNT(V2,V4)=2, V2&lt;&gt;0), V4/V2, " ")</f>
      </c>
      <c r="W30" s="4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 s="4">
        <f>IF(AND(COUNT(O2,O9)=2, O2&lt;&gt;0), O9/O2, " ")</f>
      </c>
      <c r="P31" s="4">
        <f>IF(AND(COUNT(P2,P9)=2, P2&lt;&gt;0), P9/P2, " ")</f>
      </c>
      <c r="Q31" s="4">
        <f>IF(AND(COUNT(Q2,Q9)=2, Q2&lt;&gt;0), Q9/Q2, " ")</f>
      </c>
      <c r="R31" s="4">
        <f>IF(AND(COUNT(R2,R9)=2, R2&lt;&gt;0), R9/R2, " ")</f>
      </c>
      <c r="S31" s="4">
        <f>IF(AND(COUNT(S2,S9)=2, S2&lt;&gt;0), S9/S2, " ")</f>
      </c>
      <c r="T31" s="4">
        <f>IF(AND(COUNT(T2,T9)=2, T2&lt;&gt;0), T9/T2, " ")</f>
      </c>
      <c r="U31" s="4">
        <f>IF(AND(COUNT(U2,U9)=2, U2&lt;&gt;0), U9/U2, " ")</f>
      </c>
      <c r="V31" s="4">
        <f>IF(AND(COUNT(V2,V9)=2, V2&lt;&gt;0), V9/V2, " ")</f>
      </c>
      <c r="W31" s="4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 s="4">
        <f>IF(AND(COUNT(O15,O15)=2, O15&lt;&gt;0), O16/O15, " ")</f>
      </c>
      <c r="P32" s="4">
        <f>IF(AND(COUNT(P15,P15)=2, P15&lt;&gt;0), P16/P15, " ")</f>
      </c>
      <c r="Q32" s="4">
        <f>IF(AND(COUNT(Q15,Q15)=2, Q15&lt;&gt;0), Q16/Q15, " ")</f>
      </c>
      <c r="R32" s="4">
        <f>IF(AND(COUNT(R15,R15)=2, R15&lt;&gt;0), R16/R15, " ")</f>
      </c>
      <c r="S32" s="4">
        <f>IF(AND(COUNT(S15,S15)=2, S15&lt;&gt;0), S16/S15, " ")</f>
      </c>
      <c r="T32" s="4">
        <f>IF(AND(COUNT(T15,T15)=2, T15&lt;&gt;0), T16/T15, " ")</f>
      </c>
      <c r="U32" s="4">
        <f>IF(AND(COUNT(U15,U15)=2, U15&lt;&gt;0), U16/U15, " ")</f>
      </c>
      <c r="V32" s="4">
        <f>IF(AND(COUNT(V15,V15)=2, V15&lt;&gt;0), V16/V15, " ")</f>
      </c>
      <c r="W32" s="4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 s="4">
        <f>IF(AND(COUNT(O20,O2)=2, O2&lt;&gt;0), O20/O2, " ")</f>
      </c>
      <c r="P33" s="4">
        <f>IF(AND(COUNT(P20,P2)=2, P2&lt;&gt;0), P20/P2, " ")</f>
      </c>
      <c r="Q33" s="4">
        <f>IF(AND(COUNT(Q20,Q2)=2, Q2&lt;&gt;0), Q20/Q2, " ")</f>
      </c>
      <c r="R33" s="4">
        <f>IF(AND(COUNT(R20,R2)=2, R2&lt;&gt;0), R20/R2, " ")</f>
      </c>
      <c r="S33" s="4">
        <f>IF(AND(COUNT(S20,S2)=2, S2&lt;&gt;0), S20/S2, " ")</f>
      </c>
      <c r="T33" s="4">
        <f>IF(AND(COUNT(T20,T2)=2, T2&lt;&gt;0), T20/T2, " ")</f>
      </c>
      <c r="U33" s="4">
        <f>IF(AND(COUNT(U20,U2)=2, U2&lt;&gt;0), U20/U2, " ")</f>
      </c>
      <c r="V33" s="4">
        <f>IF(AND(COUNT(V20,V2)=2, V2&lt;&gt;0), V20/V2, " ")</f>
      </c>
      <c r="W33" s="4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 s="4">
        <f>IF(AND(COUNT(N27,O27)=2, O27&lt;&gt;0, N2&lt;&gt;0), O27/N27-1, " ")</f>
      </c>
      <c r="P34" s="4">
        <f>IF(AND(COUNT(O27,P27)=2, P27&lt;&gt;0, O2&lt;&gt;0), P27/O27-1, " ")</f>
      </c>
      <c r="Q34" s="4">
        <f>IF(AND(COUNT(P27,Q27)=2, Q27&lt;&gt;0, P2&lt;&gt;0), Q27/P27-1, " ")</f>
      </c>
      <c r="R34" s="4">
        <f>IF(AND(COUNT(Q27,R27)=2, R27&lt;&gt;0, Q2&lt;&gt;0), R27/Q27-1, " ")</f>
      </c>
      <c r="S34" s="4">
        <f>IF(AND(COUNT(R27,S27)=2, S27&lt;&gt;0, R2&lt;&gt;0), S27/R27-1, " ")</f>
      </c>
      <c r="T34" s="4">
        <f>IF(AND(COUNT(S27,T27)=2, T27&lt;&gt;0, S2&lt;&gt;0), T27/S27-1, " ")</f>
      </c>
      <c r="U34" s="4">
        <f>IF(AND(COUNT(T27,U27)=2, U27&lt;&gt;0, T2&lt;&gt;0), U27/T27-1, " ")</f>
      </c>
      <c r="V34" s="4">
        <f>IF(AND(COUNT(U27,V27)=2, V27&lt;&gt;0, U2&lt;&gt;0), V27/U27-1, " ")</f>
      </c>
      <c r="W34" s="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23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spans="1:23" x14ac:dyDescent="0.25">
      <c r="A36" s="2" t="s">
        <v>32</v>
      </c>
      <c r="B36" s="3">
        <v>16171</v>
      </c>
      <c r="C36" s="3">
        <v>1557</v>
      </c>
      <c r="D36" s="3">
        <v>0</v>
      </c>
      <c r="E36" s="3"/>
      <c r="F36" s="3"/>
      <c r="G36" s="3"/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spans="1:23" x14ac:dyDescent="0.25">
      <c r="A37" s="2" t="s">
        <v>33</v>
      </c>
      <c r="B37" s="3">
        <v>41111</v>
      </c>
      <c r="C37" s="3">
        <v>22369</v>
      </c>
      <c r="D37" s="3">
        <v>21572</v>
      </c>
      <c r="E37" s="3"/>
      <c r="F37" s="3"/>
      <c r="G37" s="3"/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</row>
    <row r="38" spans="1:23" x14ac:dyDescent="0.25">
      <c r="A38" s="2" t="s">
        <v>34</v>
      </c>
      <c r="B38" s="3">
        <v>385519</v>
      </c>
      <c r="C38" s="3">
        <v>820224</v>
      </c>
      <c r="D38" s="3">
        <v>21572</v>
      </c>
      <c r="E38" s="3"/>
      <c r="F38" s="3"/>
      <c r="G38" s="3"/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</row>
    <row r="39" spans="1:23" x14ac:dyDescent="0.25">
      <c r="A39" s="2" t="s">
        <v>35</v>
      </c>
      <c r="B39" s="3">
        <f>B37-B38</f>
      </c>
      <c r="C39" s="3">
        <f>C37-C38</f>
      </c>
      <c r="D39" s="3">
        <f>D37-D38</f>
      </c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2023-12-22T01:45:41Z</cp:lastPrinted>
  <dcterms:created xsi:type="dcterms:W3CDTF">2023-12-22T01:45:41Z</dcterms:created>
  <dcterms:modified xsi:type="dcterms:W3CDTF">2023-12-22T01:45:41Z</dcterms:modified>
</cp:coreProperties>
</file>