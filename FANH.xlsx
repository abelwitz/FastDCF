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<sst xmlns="http://schemas.openxmlformats.org/spreadsheetml/2006/main" count="72" uniqueCount="68">
  <si>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</si>
  <si>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</si>
  <si>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</si>
  <si>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</si>
  <si>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</si>
  <si>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</si>
  <si>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</si>
  <si>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</si>
  <si>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</si>
  <si>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</si>
  <si>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</si>
  <si>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</si>
  <si>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</si>
  <si>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</si>
  <si>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</si>
  <si>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</si>
  <si>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</si>
  <si>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</si>
  <si>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</si>
  <si>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</si>
  <si>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</si>
  <si>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</si>
  <si>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</si>
  <si>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</si>
  <si>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</si>
  <si>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</si>
  <si>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</si>
  <si>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</si>
  <si>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</si>
  <si>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</si>
  <si>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</si>
  <si>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</si>
  <si>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</si>
  <si>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</si>
  <si>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</si>
  <si>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</si>
  <si>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</si>
  <si>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</si>
  <si>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</si>
  <si>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</si>
  <si>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</si>
  <si>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</si>
  <si>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</si>
  <si>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</si>
  <si>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</si>
  <si>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https://finance.yahoo.com/quote/FANH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</si>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</sst>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AN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ANH" TargetMode="External"/><Relationship Id="rId5" Type="http://schemas.openxmlformats.org/officeDocument/2006/relationships/hyperlink" Target="https://finance.yahoo.com/quote/FAN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218969000</v>
      </c>
      <c r="C2" s="3">
        <v>238713000</v>
      </c>
      <c r="D2" s="3">
        <v>237738000</v>
      </c>
      <c r="E2" s="3">
        <v>272916000</v>
      </c>
      <c r="F2" s="3">
        <v>328323000</v>
      </c>
      <c r="G2" s="3">
        <v>423625000</v>
      </c>
      <c r="H2" s="3">
        <v>677031000</v>
      </c>
      <c r="I2" s="3">
        <v>607662000</v>
      </c>
      <c r="J2" s="3">
        <v>564183000</v>
      </c>
      <c r="K2" s="3">
        <v>501285000</v>
      </c>
      <c r="L2" s="3">
        <v>516538000</v>
      </c>
      <c r="M2" s="3">
        <v>413386000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118480000</v>
      </c>
      <c r="C3" s="3">
        <v>0</v>
      </c>
      <c r="D3" s="3">
        <v>0</v>
      </c>
      <c r="E3" s="3">
        <v>0</v>
      </c>
      <c r="F3" s="3">
        <v>260316000</v>
      </c>
      <c r="G3" s="3">
        <v>331981000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41128000</v>
      </c>
      <c r="C6" s="3">
        <v>65314000</v>
      </c>
      <c r="D6" s="3">
        <v>69739000</v>
      </c>
      <c r="E6" s="3">
        <v>73618000</v>
      </c>
      <c r="F6" s="3">
        <v>81223000</v>
      </c>
      <c r="G6" s="3">
        <v>92512000</v>
      </c>
      <c r="H6" s="3">
        <v>-154984000</v>
      </c>
      <c r="I6" s="3">
        <v>116184000</v>
      </c>
      <c r="J6" s="3">
        <v>-108189000</v>
      </c>
      <c r="K6" s="3">
        <v>115263000</v>
      </c>
      <c r="L6" s="3">
        <v>134018000</v>
      </c>
      <c r="M6" s="3">
        <v>118503000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-12284000</v>
      </c>
      <c r="C7" s="3">
        <v>294629000</v>
      </c>
      <c r="D7" s="3">
        <v>174285000</v>
      </c>
      <c r="E7" s="3">
        <v>213650000</v>
      </c>
      <c r="F7" s="3">
        <v>260316000</v>
      </c>
      <c r="G7" s="3">
        <v>331981000</v>
      </c>
      <c r="H7" s="3">
        <v>-365040000</v>
      </c>
      <c r="I7" s="3">
        <v>470222000</v>
      </c>
      <c r="J7" s="3">
        <v>-248536000</v>
      </c>
      <c r="K7" s="3">
        <v>331107000</v>
      </c>
      <c r="L7" s="3">
        <v>328111000</v>
      </c>
      <c r="M7" s="3">
        <v>265863000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4080000</v>
      </c>
      <c r="C10" s="3">
        <v>0</v>
      </c>
      <c r="D10" s="3">
        <v>14498000</v>
      </c>
      <c r="E10" s="3">
        <v>13917000</v>
      </c>
      <c r="F10" s="3">
        <v>13256000</v>
      </c>
      <c r="G10" s="3">
        <v>8835000</v>
      </c>
      <c r="H10" s="3">
        <v>998000</v>
      </c>
      <c r="I10" s="3">
        <v>3980000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v>406000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59000</v>
      </c>
      <c r="C12" s="3">
        <v>14094000</v>
      </c>
      <c r="D12" s="3">
        <v>17542000</v>
      </c>
      <c r="E12" s="3">
        <v>18031000</v>
      </c>
      <c r="F12" s="3">
        <v>286018000</v>
      </c>
      <c r="G12" s="3">
        <v>357116000</v>
      </c>
      <c r="H12" s="3">
        <v>-1175254000</v>
      </c>
      <c r="I12" s="3">
        <v>52396000</v>
      </c>
      <c r="J12" s="3">
        <v>-841262000</v>
      </c>
      <c r="K12" s="3">
        <v>1825000</v>
      </c>
      <c r="L12" s="3">
        <v>5228000</v>
      </c>
      <c r="M12" s="3">
        <v>-554000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14658000</v>
      </c>
      <c r="C16" s="3">
        <v>13351000</v>
      </c>
      <c r="D16" s="3">
        <v>8085000</v>
      </c>
      <c r="E16" s="3">
        <v>4486000</v>
      </c>
      <c r="F16" s="3">
        <v>3915000</v>
      </c>
      <c r="G16" s="3">
        <v>3993000</v>
      </c>
      <c r="H16" s="3">
        <v>4084000</v>
      </c>
      <c r="I16" s="3">
        <v>25791000</v>
      </c>
      <c r="J16" s="3">
        <v>20658000</v>
      </c>
      <c r="K16" s="3">
        <v>12780000</v>
      </c>
      <c r="L16" s="3">
        <v>14213000</v>
      </c>
      <c r="M16" s="3">
        <v>5947000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20266000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842000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-906000</v>
      </c>
      <c r="C18" s="3">
        <v>-50392000</v>
      </c>
      <c r="D18" s="3">
        <v>-926000</v>
      </c>
      <c r="E18" s="3">
        <v>717000</v>
      </c>
      <c r="F18" s="3">
        <v>696000</v>
      </c>
      <c r="G18" s="3">
        <v>833000</v>
      </c>
      <c r="H18" s="3">
        <v>1526000</v>
      </c>
      <c r="I18" s="3">
        <v>382000</v>
      </c>
      <c r="J18" s="3">
        <v>-520000</v>
      </c>
      <c r="K18" s="3">
        <v>1214000</v>
      </c>
      <c r="L18" s="3">
        <v>1405000</v>
      </c>
      <c r="M18" s="3">
        <v>-2109000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1955000</v>
      </c>
      <c r="C19" s="3">
        <v>2263000</v>
      </c>
      <c r="D19" s="3">
        <v>2353000</v>
      </c>
      <c r="E19" s="3">
        <v>3406000</v>
      </c>
      <c r="F19" s="3">
        <v>4940000</v>
      </c>
      <c r="G19" s="3">
        <v>4156000</v>
      </c>
      <c r="H19" s="3">
        <v>6955000</v>
      </c>
      <c r="I19" s="3">
        <v>16744000</v>
      </c>
      <c r="J19" s="3">
        <v>-32255000</v>
      </c>
      <c r="K19" s="3">
        <v>-420000</v>
      </c>
      <c r="L19" s="3">
        <v>-3228000</v>
      </c>
      <c r="M19" s="3">
        <v>-10090000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5163000</v>
      </c>
      <c r="F22" s="3">
        <v>4551000</v>
      </c>
      <c r="G22" s="3">
        <v>2838000</v>
      </c>
      <c r="H22" s="3">
        <v>1943000</v>
      </c>
      <c r="I22" s="3">
        <v>2167000</v>
      </c>
      <c r="J22" s="3">
        <v>2339000</v>
      </c>
      <c r="K22" s="3">
        <v>2706000</v>
      </c>
      <c r="L22" s="3">
        <v>2878000</v>
      </c>
      <c r="M22" s="3">
        <v>2823000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7485000</v>
      </c>
      <c r="F23" s="3">
        <v>3803000</v>
      </c>
      <c r="G23" s="3">
        <v>2725000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-8432000</v>
      </c>
      <c r="C24" s="3">
        <v>125641000</v>
      </c>
      <c r="D24" s="3">
        <v>4382000</v>
      </c>
      <c r="E24" s="3">
        <v>2269000</v>
      </c>
      <c r="F24" s="3">
        <v>7745000</v>
      </c>
      <c r="G24" s="3">
        <v>5431000</v>
      </c>
      <c r="H24" s="3">
        <v>-13435000</v>
      </c>
      <c r="I24" s="3">
        <v>-47831000</v>
      </c>
      <c r="J24" s="3">
        <v>-4383000</v>
      </c>
      <c r="K24" s="3">
        <v>16622000</v>
      </c>
      <c r="L24" s="3">
        <v>-23866000</v>
      </c>
      <c r="M24" s="3">
        <v>2611000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3697000</v>
      </c>
      <c r="C26" s="3">
        <v>3314000</v>
      </c>
      <c r="D26" s="3">
        <v>1866000</v>
      </c>
      <c r="E26" s="3">
        <v>5976000</v>
      </c>
      <c r="F26" s="3">
        <v>1001000</v>
      </c>
      <c r="G26" s="3">
        <v>1029000</v>
      </c>
      <c r="H26" s="3">
        <v>1712000</v>
      </c>
      <c r="I26" s="3">
        <v>3212000</v>
      </c>
      <c r="J26" s="3">
        <v>2829000</v>
      </c>
      <c r="K26" s="3">
        <v>2337000</v>
      </c>
      <c r="L26" s="3">
        <v>4831000</v>
      </c>
      <c r="M26" s="3">
        <v>11272000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K37-K38</f>
      </c>
      <c r="K39" s="3">
        <f>L37-L38</f>
      </c>
      <c r="L39" s="3">
        <f>M37-M38</f>
      </c>
      <c r="M39" s="3">
        <f>N37-N38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