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<sst xmlns="http://schemas.openxmlformats.org/spreadsheetml/2006/main" count="72" uniqueCount="69">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</sst>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4" x14ac:dyDescent="0.25">
      <c r="A1" s="1" t="s">
        <v>0</v>
      </c>
      <c r="B1" s="2">
        <v>2011</v>
      </c>
      <c r="C1" s="2">
        <v>2012</v>
      </c>
      <c r="D1" s="2">
        <v>2013</v>
      </c>
      <c r="E1" s="2">
        <v>2014</v>
      </c>
      <c r="F1" s="2">
        <v>2015</v>
      </c>
      <c r="G1" s="2">
        <v>2016</v>
      </c>
      <c r="H1" s="2">
        <v>2017</v>
      </c>
      <c r="I1" s="2">
        <v>2018</v>
      </c>
      <c r="J1" s="2">
        <v>2019</v>
      </c>
      <c r="K1" s="2">
        <v>2020</v>
      </c>
      <c r="L1" s="2">
        <v>2021</v>
      </c>
      <c r="M1" s="2">
        <v>2022</v>
      </c>
      <c r="N1" s="2">
        <v>2023</v>
      </c>
      <c r="O1" s="2">
        <v>2024</v>
      </c>
      <c r="P1" s="2">
        <v>2025</v>
      </c>
      <c r="Q1" s="2">
        <v>2026</v>
      </c>
      <c r="R1" s="2">
        <v>2027</v>
      </c>
      <c r="S1" s="2">
        <v>2028</v>
      </c>
      <c r="T1" s="2">
        <v>2029</v>
      </c>
      <c r="U1" s="2">
        <v>2030</v>
      </c>
      <c r="V1" s="2">
        <v>2031</v>
      </c>
      <c r="W1" s="2">
        <v>2032</v>
      </c>
      <c r="X1" s="2">
        <v>2033</v>
      </c>
    </row>
    <row r="2" spans="1:24" x14ac:dyDescent="0.25">
      <c r="A2" s="2" t="s">
        <v>1</v>
      </c>
      <c r="B2" s="3">
        <v>377488</v>
      </c>
      <c r="C2" s="3">
        <v>624096</v>
      </c>
      <c r="D2" s="3">
        <v>873255</v>
      </c>
      <c r="E2" s="3">
        <v>341836</v>
      </c>
      <c r="F2" s="3">
        <v>269518</v>
      </c>
      <c r="G2" s="3">
        <v>128399</v>
      </c>
      <c r="H2" s="3">
        <v>364302</v>
      </c>
      <c r="I2" s="3">
        <v>343918</v>
      </c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</row>
    <row r="3" spans="1:24" x14ac:dyDescent="0.25">
      <c r="A3" s="2" t="s">
        <v>2</v>
      </c>
      <c r="B3" s="3">
        <v>359822</v>
      </c>
      <c r="C3" s="3">
        <v>575408</v>
      </c>
      <c r="D3" s="3">
        <v>767911</v>
      </c>
      <c r="E3" s="3">
        <v>950006</v>
      </c>
      <c r="F3" s="3">
        <v>50900</v>
      </c>
      <c r="G3" s="3">
        <v>173418</v>
      </c>
      <c r="H3" s="3">
        <v>301179</v>
      </c>
      <c r="I3" s="3">
        <v>363956</v>
      </c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>
        <f>Y2-Y3</f>
      </c>
      <c r="Z4">
        <f>Z2-Z3</f>
      </c>
    </row>
    <row r="5" spans="1:24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>
        <v>0</v>
      </c>
      <c r="I5" s="3">
        <v>0</v>
      </c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</row>
    <row r="6" spans="1:24" x14ac:dyDescent="0.25">
      <c r="A6" s="2" t="s">
        <v>5</v>
      </c>
      <c r="B6" s="3">
        <v>9221</v>
      </c>
      <c r="C6" s="3">
        <v>10256</v>
      </c>
      <c r="D6" s="3">
        <v>26835</v>
      </c>
      <c r="E6" s="3">
        <v>32231</v>
      </c>
      <c r="F6" s="3">
        <v>27551</v>
      </c>
      <c r="G6" s="3">
        <v>20951</v>
      </c>
      <c r="H6" s="3">
        <v>26796</v>
      </c>
      <c r="I6" s="3">
        <v>26769</v>
      </c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</row>
    <row r="7" spans="1:24" x14ac:dyDescent="0.25">
      <c r="A7" s="2" t="s">
        <v>6</v>
      </c>
      <c r="B7" s="3">
        <v>4571</v>
      </c>
      <c r="C7" s="3">
        <v>-2541</v>
      </c>
      <c r="D7" s="3">
        <v>34666</v>
      </c>
      <c r="E7" s="3">
        <v>-739911</v>
      </c>
      <c r="F7" s="3">
        <v>175628</v>
      </c>
      <c r="G7" s="3">
        <v>-184</v>
      </c>
      <c r="H7" s="3">
        <v>10035</v>
      </c>
      <c r="I7" s="3">
        <v>22839</v>
      </c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-1387</v>
      </c>
      <c r="C10" s="3">
        <v>-12037</v>
      </c>
      <c r="D10" s="3">
        <v>-11159</v>
      </c>
      <c r="E10" s="3">
        <v>-6992</v>
      </c>
      <c r="F10" s="3">
        <v>-11182</v>
      </c>
      <c r="G10" s="3">
        <v>-23810</v>
      </c>
      <c r="H10" s="3">
        <v>-14964</v>
      </c>
      <c r="I10" s="3">
        <v>-30328</v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4" x14ac:dyDescent="0.25">
      <c r="A11" s="2" t="s">
        <v>10</v>
      </c>
      <c r="B11" s="3">
        <v>3371</v>
      </c>
      <c r="C11" s="3">
        <v>11055</v>
      </c>
      <c r="D11" s="3">
        <v>10833</v>
      </c>
      <c r="E11" s="3">
        <v>6343</v>
      </c>
      <c r="F11" s="3">
        <v>11216</v>
      </c>
      <c r="G11" s="3">
        <v>21339</v>
      </c>
      <c r="H11" s="3">
        <v>19171</v>
      </c>
      <c r="I11" s="3">
        <v>30993</v>
      </c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</row>
    <row r="12" spans="1:24" x14ac:dyDescent="0.25">
      <c r="A12" s="2" t="s">
        <v>11</v>
      </c>
      <c r="B12" s="3">
        <v>300</v>
      </c>
      <c r="C12" s="3">
        <v>-605</v>
      </c>
      <c r="D12" s="3">
        <v>581</v>
      </c>
      <c r="E12" s="3">
        <v>-649</v>
      </c>
      <c r="F12" s="3">
        <v>34</v>
      </c>
      <c r="G12" s="3">
        <v>-2471</v>
      </c>
      <c r="H12" s="3">
        <v>4207</v>
      </c>
      <c r="I12" s="3">
        <v>2571</v>
      </c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>
        <f>Y10-Y11+Y12</f>
      </c>
      <c r="Z13">
        <f>Z10-Z11+Z12</f>
      </c>
    </row>
    <row r="14" spans="1:24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>
        <f>Y9+Y13-Y14</f>
      </c>
      <c r="Z15">
        <f>Z9+Z13-Z14</f>
      </c>
    </row>
    <row r="16" spans="1:24" x14ac:dyDescent="0.25">
      <c r="A16" s="2" t="s">
        <v>15</v>
      </c>
      <c r="B16" s="3">
        <v>101</v>
      </c>
      <c r="C16" s="3">
        <v>81</v>
      </c>
      <c r="D16" s="3">
        <v>386</v>
      </c>
      <c r="E16" s="3">
        <v>205</v>
      </c>
      <c r="F16" s="3">
        <v>258</v>
      </c>
      <c r="G16" s="3">
        <v>-191</v>
      </c>
      <c r="H16" s="3">
        <v>71</v>
      </c>
      <c r="I16" s="3">
        <v>147</v>
      </c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</row>
    <row r="17" spans="1:24" x14ac:dyDescent="0.25">
      <c r="A17" s="2" t="s">
        <v>16</v>
      </c>
      <c r="B17" s="3">
        <v>0</v>
      </c>
      <c r="C17" s="3">
        <v>0</v>
      </c>
      <c r="D17" s="3">
        <v>0</v>
      </c>
      <c r="E17" s="3">
        <v>3758</v>
      </c>
      <c r="F17" s="3">
        <v>-2228</v>
      </c>
      <c r="G17" s="3">
        <v>40445</v>
      </c>
      <c r="H17" s="3">
        <v>-3125</v>
      </c>
      <c r="I17" s="3">
        <v>0</v>
      </c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</row>
    <row r="18" spans="1:24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4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>
        <f>Y15-Y16+Y17-Y18+Y19</f>
      </c>
      <c r="Z20">
        <f>Z15-Z16+Z17-Z18+Z19</f>
      </c>
    </row>
    <row r="21" spans="1:24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4" x14ac:dyDescent="0.25">
      <c r="A22" s="2" t="s">
        <v>20</v>
      </c>
      <c r="B22" s="3">
        <v>6880</v>
      </c>
      <c r="C22" s="3">
        <v>9119</v>
      </c>
      <c r="D22" s="3">
        <v>20828</v>
      </c>
      <c r="E22" s="3">
        <v>24803</v>
      </c>
      <c r="F22" s="3">
        <v>17897</v>
      </c>
      <c r="G22" s="3">
        <v>19126</v>
      </c>
      <c r="H22" s="3">
        <v>21899</v>
      </c>
      <c r="I22" s="3">
        <v>19633</v>
      </c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</row>
    <row r="23" spans="1:24" x14ac:dyDescent="0.25">
      <c r="A23" s="2" t="s">
        <v>21</v>
      </c>
      <c r="B23" s="3">
        <v>0</v>
      </c>
      <c r="C23" s="3">
        <v>0</v>
      </c>
      <c r="D23" s="3">
        <v>5734</v>
      </c>
      <c r="E23" s="3">
        <v>9042</v>
      </c>
      <c r="F23" s="3">
        <v>3532</v>
      </c>
      <c r="G23" s="3">
        <v>719</v>
      </c>
      <c r="H23" s="3">
        <v>1423</v>
      </c>
      <c r="I23" s="3">
        <v>1507</v>
      </c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4" x14ac:dyDescent="0.25">
      <c r="A24" s="2" t="s">
        <v>22</v>
      </c>
      <c r="B24" s="3">
        <v>-6195</v>
      </c>
      <c r="C24" s="3">
        <v>-26314</v>
      </c>
      <c r="D24" s="3">
        <v>-48608</v>
      </c>
      <c r="E24" s="3">
        <v>-36763</v>
      </c>
      <c r="F24" s="3">
        <v>35307</v>
      </c>
      <c r="G24" s="3">
        <v>5599</v>
      </c>
      <c r="H24" s="3">
        <v>-18593</v>
      </c>
      <c r="I24" s="3">
        <v>141258</v>
      </c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>
        <f>Y20+Y22+Y23+Y24</f>
      </c>
      <c r="Z25">
        <f>Z20+Z22+Z23+Z24</f>
      </c>
    </row>
    <row r="26" spans="1:24" x14ac:dyDescent="0.25">
      <c r="A26" s="2" t="s">
        <v>24</v>
      </c>
      <c r="B26" s="3">
        <v>0</v>
      </c>
      <c r="C26" s="3">
        <v>0</v>
      </c>
      <c r="D26" s="3">
        <v>0</v>
      </c>
      <c r="E26" s="3">
        <v>77172</v>
      </c>
      <c r="F26" s="3">
        <v>33674</v>
      </c>
      <c r="G26" s="3">
        <v>-140541</v>
      </c>
      <c r="H26" s="3">
        <v>27667</v>
      </c>
      <c r="I26" s="3">
        <v>77367</v>
      </c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>
        <f>Y25-Y26</f>
      </c>
      <c r="Z27">
        <f>Z25-Z26</f>
      </c>
    </row>
    <row r="28" spans="1:24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24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</row>
    <row r="36" spans="1:24" x14ac:dyDescent="0.25">
      <c r="A36" s="2" t="s">
        <v>32</v>
      </c>
      <c r="B36" s="3">
        <v>0</v>
      </c>
      <c r="C36" s="3">
        <v>131414</v>
      </c>
      <c r="D36" s="3">
        <v>146131</v>
      </c>
      <c r="E36" s="3">
        <v>238657</v>
      </c>
      <c r="F36" s="3">
        <v>179520</v>
      </c>
      <c r="G36" s="3">
        <v>165855</v>
      </c>
      <c r="H36" s="3">
        <v>185970</v>
      </c>
      <c r="I36" s="3">
        <v>140384</v>
      </c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</row>
    <row r="37" spans="1:24" x14ac:dyDescent="0.25">
      <c r="A37" s="2" t="s">
        <v>33</v>
      </c>
      <c r="B37" s="3">
        <v>0</v>
      </c>
      <c r="C37" s="3">
        <v>195789</v>
      </c>
      <c r="D37" s="3">
        <v>323016</v>
      </c>
      <c r="E37" s="3">
        <v>436968</v>
      </c>
      <c r="F37" s="3">
        <v>420048</v>
      </c>
      <c r="G37" s="3">
        <v>249904</v>
      </c>
      <c r="H37" s="3">
        <v>300116</v>
      </c>
      <c r="I37" s="3">
        <v>211419</v>
      </c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</row>
    <row r="38" spans="1:24" x14ac:dyDescent="0.25">
      <c r="A38" s="2" t="s">
        <v>34</v>
      </c>
      <c r="B38" s="3">
        <v>0</v>
      </c>
      <c r="C38" s="3">
        <v>195789</v>
      </c>
      <c r="D38" s="3">
        <v>323016</v>
      </c>
      <c r="E38" s="3">
        <v>436968</v>
      </c>
      <c r="F38" s="3">
        <v>420048</v>
      </c>
      <c r="G38" s="3">
        <v>249904</v>
      </c>
      <c r="H38" s="3">
        <v>300116</v>
      </c>
      <c r="I38" s="3">
        <v>211419</v>
      </c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</row>
    <row r="39" spans="1:24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>
        <f>H37-H38</f>
      </c>
      <c r="I39" s="3">
        <f>I37-I38</f>
      </c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2023-12-22T01:46:28Z</cp:lastPrinted>
  <dcterms:created xsi:type="dcterms:W3CDTF">2023-12-22T01:46:28Z</dcterms:created>
  <dcterms:modified xsi:type="dcterms:W3CDTF">2023-12-22T01:46:28Z</dcterms:modified>
</cp:coreProperties>
</file>