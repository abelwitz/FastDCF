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<sst xmlns="http://schemas.openxmlformats.org/spreadsheetml/2006/main" count="72" uniqueCount="68">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</sst>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5" x14ac:dyDescent="0.25">
      <c r="A1" s="1" t="s">
        <v>0</v>
      </c>
      <c r="B1" s="2">
        <v>2010</v>
      </c>
      <c r="C1" s="2">
        <v>2011</v>
      </c>
      <c r="D1" s="2">
        <v>2012</v>
      </c>
      <c r="E1" s="2">
        <v>2013</v>
      </c>
      <c r="F1" s="2">
        <v>2014</v>
      </c>
      <c r="G1" s="2">
        <v>2015</v>
      </c>
      <c r="H1" s="2">
        <v>2016</v>
      </c>
      <c r="I1" s="2">
        <v>2017</v>
      </c>
      <c r="J1" s="2">
        <v>2018</v>
      </c>
      <c r="K1" s="2">
        <v>2019</v>
      </c>
      <c r="L1" s="2">
        <v>2020</v>
      </c>
      <c r="M1" s="2">
        <v>2021</v>
      </c>
      <c r="N1" s="2">
        <v>2022</v>
      </c>
      <c r="O1" s="2">
        <v>2023</v>
      </c>
      <c r="P1" s="2">
        <v>2024</v>
      </c>
      <c r="Q1" s="2">
        <v>2025</v>
      </c>
      <c r="R1" s="2">
        <v>2026</v>
      </c>
      <c r="S1" s="2">
        <v>2027</v>
      </c>
      <c r="T1" s="2">
        <v>2028</v>
      </c>
      <c r="U1" s="2">
        <v>2029</v>
      </c>
      <c r="V1" s="2">
        <v>2030</v>
      </c>
      <c r="W1" s="2">
        <v>2031</v>
      </c>
      <c r="X1" s="2">
        <v>2032</v>
      </c>
      <c r="Y1" s="2">
        <v>2033</v>
      </c>
    </row>
    <row r="2" spans="1:25" x14ac:dyDescent="0.25">
      <c r="A2" s="2" t="s">
        <v>1</v>
      </c>
      <c r="B2" s="3">
        <v>0</v>
      </c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</row>
    <row r="3" spans="1:25" x14ac:dyDescent="0.25">
      <c r="A3" s="2" t="s">
        <v>2</v>
      </c>
      <c r="B3" s="3">
        <v>0</v>
      </c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>
        <f>Z2-Z3</f>
      </c>
    </row>
    <row r="5" spans="1:25" x14ac:dyDescent="0.25">
      <c r="A5" s="2" t="s">
        <v>4</v>
      </c>
      <c r="B5" s="3">
        <v>0</v>
      </c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</row>
    <row r="6" spans="1:25" x14ac:dyDescent="0.25">
      <c r="A6" s="2" t="s">
        <v>5</v>
      </c>
      <c r="B6" s="3">
        <v>0</v>
      </c>
      <c r="C6" s="3"/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</row>
    <row r="7" spans="1:25" x14ac:dyDescent="0.25">
      <c r="A7" s="2" t="s">
        <v>6</v>
      </c>
      <c r="B7" s="3">
        <v>9008000</v>
      </c>
      <c r="C7" s="3"/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>
        <f>Z4-Z8</f>
      </c>
    </row>
    <row r="10" spans="1:26" x14ac:dyDescent="0.25">
      <c r="A10" s="2" t="s">
        <v>9</v>
      </c>
      <c r="B10" s="3">
        <v>0</v>
      </c>
      <c r="C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D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E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F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5" x14ac:dyDescent="0.25">
      <c r="A11" s="2" t="s">
        <v>10</v>
      </c>
      <c r="B11" s="3">
        <v>0</v>
      </c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</row>
    <row r="12" spans="1:25" x14ac:dyDescent="0.25">
      <c r="A12" s="2" t="s">
        <v>11</v>
      </c>
      <c r="B12" s="3">
        <v>0</v>
      </c>
      <c r="C12" s="3"/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>
        <f>Z10-Z11+Z12</f>
      </c>
    </row>
    <row r="14" spans="1:25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>
        <f>Z9+Z13-Z14</f>
      </c>
    </row>
    <row r="16" spans="1:25" x14ac:dyDescent="0.25">
      <c r="A16" s="2" t="s">
        <v>15</v>
      </c>
      <c r="B16" s="3">
        <v>0</v>
      </c>
      <c r="C16" s="3"/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</row>
    <row r="17" spans="1:25" x14ac:dyDescent="0.25">
      <c r="A17" s="2" t="s">
        <v>16</v>
      </c>
      <c r="B17" s="3">
        <v>0</v>
      </c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</row>
    <row r="18" spans="1:25" x14ac:dyDescent="0.25">
      <c r="A18" s="2" t="s">
        <v>17</v>
      </c>
      <c r="B18" s="3">
        <v>0</v>
      </c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</row>
    <row r="19" spans="1:25" x14ac:dyDescent="0.25">
      <c r="A19" s="2" t="s">
        <v>18</v>
      </c>
      <c r="B19" s="3">
        <v>0</v>
      </c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>
        <f>Z15-Z16+Z17-Z18+Z19</f>
      </c>
    </row>
    <row r="21" spans="1:25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</row>
    <row r="22" spans="1:25" x14ac:dyDescent="0.25">
      <c r="A22" s="2" t="s">
        <v>20</v>
      </c>
      <c r="B22" s="3">
        <v>0</v>
      </c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</row>
    <row r="23" spans="1:25" x14ac:dyDescent="0.25">
      <c r="A23" s="2" t="s">
        <v>21</v>
      </c>
      <c r="B23" s="3">
        <v>0</v>
      </c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</row>
    <row r="24" spans="1:25" x14ac:dyDescent="0.25">
      <c r="A24" s="2" t="s">
        <v>22</v>
      </c>
      <c r="B24" s="3">
        <v>9008000</v>
      </c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>
        <f>Z20+Z22+Z23+Z24</f>
      </c>
    </row>
    <row r="26" spans="1:25" x14ac:dyDescent="0.25">
      <c r="A26" s="2" t="s">
        <v>24</v>
      </c>
      <c r="B26" s="3">
        <v>0</v>
      </c>
      <c r="C26" s="3"/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>
        <f>Z25-Z26</f>
      </c>
    </row>
    <row r="28" spans="1:25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>
        <f>IF(AND(COUNT(Y27,Z27)=2, Z27&lt;&gt;0, Y2&lt;&gt;0), Z27/Y27-1, " ")</f>
      </c>
    </row>
    <row r="35" spans="1:25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</row>
    <row r="36" spans="1:25" x14ac:dyDescent="0.25">
      <c r="A36" s="2" t="s">
        <v>32</v>
      </c>
      <c r="B36" s="3">
        <v>0</v>
      </c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</row>
    <row r="37" spans="1:25" x14ac:dyDescent="0.25">
      <c r="A37" s="2" t="s">
        <v>33</v>
      </c>
      <c r="B37" s="3">
        <v>0</v>
      </c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</row>
    <row r="38" spans="1:25" x14ac:dyDescent="0.25">
      <c r="A38" s="2" t="s">
        <v>34</v>
      </c>
      <c r="B38" s="3">
        <v>0</v>
      </c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</row>
    <row r="39" spans="1:25" x14ac:dyDescent="0.25">
      <c r="A39" s="2" t="s">
        <v>35</v>
      </c>
      <c r="B39" s="3">
        <f>B37-B38</f>
      </c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39</v>
      </c>
      <c r="B6" s="4"/>
      <c r="C6" t="s">
        <v>40</v>
      </c>
    </row>
    <row r="7" spans="1:3" x14ac:dyDescent="0.25">
      <c r="A7" s="2" t="s">
        <v>41</v>
      </c>
      <c r="B7" s="4"/>
      <c r="C7" t="s">
        <v>42</v>
      </c>
    </row>
    <row r="8" spans="1:4" x14ac:dyDescent="0.25">
      <c r="A8" s="2" t="s">
        <v>43</v>
      </c>
      <c r="C8" t="s">
        <v>44</v>
      </c>
      <c r="D8" t="s">
        <v>45</v>
      </c>
    </row>
    <row r="9" spans="1:4" x14ac:dyDescent="0.25">
      <c r="A9" s="2" t="s">
        <v>46</v>
      </c>
      <c r="B9" s="4"/>
      <c r="C9" t="s">
        <v>47</v>
      </c>
      <c r="D9" t="s">
        <v>48</v>
      </c>
    </row>
    <row r="10" spans="1:4" x14ac:dyDescent="0.25">
      <c r="A10" s="2" t="s">
        <v>49</v>
      </c>
      <c r="B10" s="4"/>
      <c r="C10" t="s">
        <v>50</v>
      </c>
      <c r="D10" t="s">
        <v>51</v>
      </c>
    </row>
    <row r="11" spans="1:2" x14ac:dyDescent="0.25">
      <c r="A11" s="2" t="s">
        <v>52</v>
      </c>
      <c r="B11" s="4">
        <f>B10+B9*B8</f>
      </c>
    </row>
    <row r="12" spans="1:3" x14ac:dyDescent="0.25">
      <c r="A12" s="2" t="s">
        <v>53</v>
      </c>
      <c r="B12" s="4"/>
      <c r="C12" t="s">
        <v>54</v>
      </c>
    </row>
    <row r="13" spans="1:4" x14ac:dyDescent="0.25">
      <c r="A13" s="2" t="s">
        <v>55</v>
      </c>
      <c r="B13" s="3"/>
      <c r="C13" t="s">
        <v>56</v>
      </c>
      <c r="D13" t="s">
        <v>45</v>
      </c>
    </row>
    <row r="14" spans="1:3" x14ac:dyDescent="0.25">
      <c r="A14" s="2" t="s">
        <v>57</v>
      </c>
      <c r="B14" s="3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3"/>
      <c r="C20" t="s">
        <v>65</v>
      </c>
    </row>
    <row r="21" spans="1:4" x14ac:dyDescent="0.25">
      <c r="A21" s="2" t="s">
        <v>66</v>
      </c>
      <c r="B21" s="3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2023-12-22T01:44:26Z</cp:lastPrinted>
  <dcterms:created xsi:type="dcterms:W3CDTF">2023-12-22T01:44:26Z</dcterms:created>
  <dcterms:modified xsi:type="dcterms:W3CDTF">2023-12-22T01:44:26Z</dcterms:modified>
</cp:coreProperties>
</file>