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<sst xmlns="http://schemas.openxmlformats.org/spreadsheetml/2006/main" count="74" uniqueCount="71">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</sst>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1642931</v>
      </c>
      <c r="C2" s="3">
        <v>2436703</v>
      </c>
      <c r="D2" s="3">
        <v>2469562</v>
      </c>
      <c r="E2" s="3">
        <v>2478485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1263627</v>
      </c>
      <c r="C3" s="3">
        <v>1834375</v>
      </c>
      <c r="D3" s="3">
        <v>1854696</v>
      </c>
      <c r="E3" s="3">
        <v>1893936</v>
      </c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4562</v>
      </c>
      <c r="C5" s="3">
        <v>9387</v>
      </c>
      <c r="D5" s="3">
        <v>8021</v>
      </c>
      <c r="E5" s="3">
        <v>12031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186570</v>
      </c>
      <c r="C6" s="3">
        <v>282294</v>
      </c>
      <c r="D6" s="3">
        <v>252101</v>
      </c>
      <c r="E6" s="3">
        <v>259150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42214</v>
      </c>
      <c r="C7" s="3">
        <v>45495</v>
      </c>
      <c r="D7" s="3">
        <v>171478</v>
      </c>
      <c r="E7" s="3">
        <v>29774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>
        <v>89</v>
      </c>
      <c r="C10" s="3">
        <v>288</v>
      </c>
      <c r="D10" s="3">
        <v>242</v>
      </c>
      <c r="E10" s="3">
        <v>110</v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>
        <v>121167</v>
      </c>
      <c r="C11" s="3">
        <v>236004</v>
      </c>
      <c r="D11" s="3">
        <v>208319</v>
      </c>
      <c r="E11" s="3">
        <v>198484</v>
      </c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-121078</v>
      </c>
      <c r="C12" s="3">
        <v>-235716</v>
      </c>
      <c r="D12" s="3">
        <v>-208077</v>
      </c>
      <c r="E12" s="3">
        <v>-198374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v>0</v>
      </c>
      <c r="C13" s="3">
        <v>0</v>
      </c>
      <c r="D13" s="3">
        <v>0</v>
      </c>
      <c r="E13" s="3">
        <v>0</v>
      </c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 s="3">
        <f>Z12+Z13</f>
      </c>
    </row>
    <row r="15" spans="1:26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 s="3">
        <f>Z9+Z14-Z15</f>
      </c>
    </row>
    <row r="17" spans="1:26" x14ac:dyDescent="0.25">
      <c r="A17" s="2" t="s">
        <v>16</v>
      </c>
      <c r="B17" s="3">
        <v>-277723</v>
      </c>
      <c r="C17" s="3">
        <v>7399</v>
      </c>
      <c r="D17" s="3">
        <v>22103</v>
      </c>
      <c r="E17" s="3">
        <v>32701</v>
      </c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spans="1:26" x14ac:dyDescent="0.25">
      <c r="A21" s="2" t="s">
        <v>20</v>
      </c>
      <c r="B21" s="3">
        <v>0</v>
      </c>
      <c r="C21" s="3">
        <v>0</v>
      </c>
      <c r="D21" s="3">
        <v>0</v>
      </c>
      <c r="E21" s="3">
        <v>0</v>
      </c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 s="3">
        <f>Z16-Z17+Z18-Z19+Z20+Z21</f>
      </c>
    </row>
    <row r="23" spans="1:26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65468</v>
      </c>
      <c r="C24" s="3">
        <v>78049</v>
      </c>
      <c r="D24" s="3">
        <v>88476</v>
      </c>
      <c r="E24" s="3">
        <v>98123</v>
      </c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v>3190</v>
      </c>
      <c r="C25" s="3">
        <v>4727</v>
      </c>
      <c r="D25" s="3">
        <v>1151</v>
      </c>
      <c r="E25" s="3">
        <v>850</v>
      </c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spans="1:26" x14ac:dyDescent="0.25">
      <c r="A26" s="2" t="s">
        <v>24</v>
      </c>
      <c r="B26" s="3">
        <v>-255018</v>
      </c>
      <c r="C26" s="3">
        <v>152165</v>
      </c>
      <c r="D26" s="3">
        <v>161499</v>
      </c>
      <c r="E26" s="3">
        <v>51361</v>
      </c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 s="3">
        <f>Z22+Z24+Z25+Z26</f>
      </c>
    </row>
    <row r="28" spans="1:26" x14ac:dyDescent="0.25">
      <c r="A28" s="2" t="s">
        <v>26</v>
      </c>
      <c r="B28" s="3">
        <v>52030</v>
      </c>
      <c r="C28" s="3">
        <v>81272</v>
      </c>
      <c r="D28" s="3">
        <v>109406</v>
      </c>
      <c r="E28" s="3">
        <v>77709</v>
      </c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 s="3">
        <f>Z27-Z28</f>
      </c>
    </row>
    <row r="30" spans="1:26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 s="4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 s="4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 s="4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 s="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 s="4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 s="4">
        <f>IF(AND(COUNT(Y29,Z29)=2, Z29&lt;&gt;0, Y2&lt;&gt;0), Z27/Y29-1, " ")</f>
      </c>
    </row>
    <row r="37" spans="1:26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0</v>
      </c>
      <c r="C38" s="3">
        <v>447068</v>
      </c>
      <c r="D38" s="3">
        <v>501283</v>
      </c>
      <c r="E38" s="3">
        <v>493666</v>
      </c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v>0</v>
      </c>
      <c r="C39" s="3">
        <v>4491616</v>
      </c>
      <c r="D39" s="3">
        <v>4451621</v>
      </c>
      <c r="E39" s="3">
        <v>4399988</v>
      </c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 spans="1:26" x14ac:dyDescent="0.25">
      <c r="A40" s="2" t="s">
        <v>36</v>
      </c>
      <c r="B40" s="3">
        <v>-874353</v>
      </c>
      <c r="C40" s="3">
        <v>3596531</v>
      </c>
      <c r="D40" s="3">
        <v>3606269</v>
      </c>
      <c r="E40" s="3">
        <v>3511262</v>
      </c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 spans="1:26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2023-12-24T11:01:20Z</cp:lastPrinted>
  <dcterms:created xsi:type="dcterms:W3CDTF">2023-12-24T11:01:20Z</dcterms:created>
  <dcterms:modified xsi:type="dcterms:W3CDTF">2023-12-24T11:01:20Z</dcterms:modified>
</cp:coreProperties>
</file>