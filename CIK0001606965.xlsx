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<sst xmlns="http://schemas.openxmlformats.org/spreadsheetml/2006/main" count="74" uniqueCount="70">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</sst>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106329</v>
      </c>
      <c r="C2" s="3">
        <v>165741</v>
      </c>
      <c r="D2" s="3">
        <v>50554822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153434</v>
      </c>
      <c r="C6" s="3">
        <v>2078047</v>
      </c>
      <c r="D6" s="3">
        <v>29026451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5016700</v>
      </c>
      <c r="C7" s="3">
        <v>14145629</v>
      </c>
      <c r="D7" s="3">
        <v>118072689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125892</v>
      </c>
      <c r="C10" s="3">
        <v>191426</v>
      </c>
      <c r="D10" s="3">
        <v>86838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28060828</v>
      </c>
      <c r="C11" s="3">
        <v>38154936</v>
      </c>
      <c r="D11" s="3">
        <v>29030163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-27934936</v>
      </c>
      <c r="C12" s="3">
        <v>-37963510</v>
      </c>
      <c r="D12" s="3">
        <v>-28943325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 x14ac:dyDescent="0.25">
      <c r="A13" s="2" t="s">
        <v>12</v>
      </c>
      <c r="B13" s="3">
        <v>0</v>
      </c>
      <c r="C13" s="3">
        <v>-5465834</v>
      </c>
      <c r="D13" s="3">
        <v>-21875324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>
        <f>X12+X13</f>
      </c>
      <c r="Y14">
        <f>Y12+Y13</f>
      </c>
      <c r="Z14">
        <f>Z12+Z13</f>
      </c>
    </row>
    <row r="15" spans="1:2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>
        <f>X9+X14-X15</f>
      </c>
      <c r="Y16">
        <f>Y9+Y14-Y15</f>
      </c>
      <c r="Z16">
        <f>Z9+Z14-Z15</f>
      </c>
    </row>
    <row r="17" spans="1:23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3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</row>
    <row r="21" spans="1:23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179531</v>
      </c>
      <c r="C24" s="3">
        <v>392314</v>
      </c>
      <c r="D24" s="3">
        <v>14069269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3" x14ac:dyDescent="0.25">
      <c r="A25" s="2" t="s">
        <v>23</v>
      </c>
      <c r="B25" s="3">
        <v>0</v>
      </c>
      <c r="C25" s="3">
        <v>0</v>
      </c>
      <c r="D25" s="3">
        <v>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</row>
    <row r="26" spans="1:23" x14ac:dyDescent="0.25">
      <c r="A26" s="2" t="s">
        <v>24</v>
      </c>
      <c r="B26" s="3">
        <v>32819210</v>
      </c>
      <c r="C26" s="3">
        <v>59094965</v>
      </c>
      <c r="D26" s="3">
        <v>133293698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>
        <f>X22+X24+X25+X26</f>
      </c>
      <c r="Y27">
        <f>Y22+Y24+Y25+Y26</f>
      </c>
      <c r="Z27">
        <f>Z22+Z24+Z25+Z26</f>
      </c>
    </row>
    <row r="28" spans="1:23" x14ac:dyDescent="0.25">
      <c r="A28" s="2" t="s">
        <v>26</v>
      </c>
      <c r="B28" s="3">
        <v>127301</v>
      </c>
      <c r="C28" s="3">
        <v>1866300</v>
      </c>
      <c r="D28" s="3">
        <v>3380820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>
        <f>X27-X28</f>
      </c>
      <c r="Y29">
        <f>Y27-Y28</f>
      </c>
      <c r="Z29">
        <f>Z27-Z28</f>
      </c>
    </row>
    <row r="30" spans="1:2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0</v>
      </c>
      <c r="C38" s="3">
        <v>79815396</v>
      </c>
      <c r="D38" s="3">
        <v>486019603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v>0</v>
      </c>
      <c r="C39" s="3">
        <v>588556525</v>
      </c>
      <c r="D39" s="3">
        <v>595884373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  <row r="40" spans="1:23" x14ac:dyDescent="0.25">
      <c r="A40" s="2" t="s">
        <v>36</v>
      </c>
      <c r="B40" s="3">
        <v>0</v>
      </c>
      <c r="C40" s="3">
        <v>588556525</v>
      </c>
      <c r="D40" s="3">
        <v>595884373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</row>
    <row r="41" spans="1:23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2023-12-24T00:47:35Z</cp:lastPrinted>
  <dcterms:created xsi:type="dcterms:W3CDTF">2023-12-24T00:47:35Z</dcterms:created>
  <dcterms:modified xsi:type="dcterms:W3CDTF">2023-12-24T00:47:35Z</dcterms:modified>
</cp:coreProperties>
</file>