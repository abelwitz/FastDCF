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<sst xmlns="http://schemas.openxmlformats.org/spreadsheetml/2006/main" count="72" uniqueCount="68">
  <si>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</si>
  <si>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</si>
  <si>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</si>
  <si>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</si>
  <si>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</si>
  <si>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</si>
  <si>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</si>
  <si>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</si>
  <si>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</si>
  <si>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</si>
  <si>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</si>
  <si>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</si>
  <si>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</si>
  <si>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</si>
  <si>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</si>
  <si>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</si>
  <si>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</si>
  <si>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</si>
  <si>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</si>
  <si>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</si>
  <si>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</si>
  <si>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</si>
  <si>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</si>
  <si>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</si>
  <si>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</si>
  <si>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</si>
  <si>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</si>
  <si>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</si>
  <si>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</si>
  <si>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</si>
  <si>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</si>
  <si>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</si>
  <si>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</si>
  <si>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</si>
  <si>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</si>
  <si>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</si>
  <si>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</si>
  <si>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</si>
  <si>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</si>
  <si>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</si>
  <si>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</si>
  <si>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</si>
  <si>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</si>
  <si>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</si>
  <si>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</si>
  <si>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https://finance.yahoo.com/quote/SYEV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</si>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</sst>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SYEV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SYEV" TargetMode="External"/><Relationship Id="rId5" Type="http://schemas.openxmlformats.org/officeDocument/2006/relationships/hyperlink" Target="https://finance.yahoo.com/quote/SYEV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4470090</v>
      </c>
      <c r="C2" s="3">
        <v>5142260</v>
      </c>
      <c r="D2" s="3">
        <v>4847147</v>
      </c>
      <c r="E2" s="3">
        <v>4305205</v>
      </c>
      <c r="F2" s="3">
        <v>4305205</v>
      </c>
      <c r="G2" s="3">
        <v>10910067</v>
      </c>
      <c r="H2" s="3">
        <v>4378436</v>
      </c>
      <c r="I2" s="3">
        <v>5279377</v>
      </c>
      <c r="J2" s="3">
        <v>3153429</v>
      </c>
      <c r="K2" s="3">
        <v>3086408</v>
      </c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2189101</v>
      </c>
      <c r="C3" s="3">
        <v>2651007</v>
      </c>
      <c r="D3" s="3">
        <v>2502365</v>
      </c>
      <c r="E3" s="3">
        <v>2477124</v>
      </c>
      <c r="F3" s="3">
        <v>2477124</v>
      </c>
      <c r="G3" s="3">
        <v>5906131</v>
      </c>
      <c r="H3" s="3">
        <v>3303274</v>
      </c>
      <c r="I3" s="3">
        <v>2802565</v>
      </c>
      <c r="J3" s="3">
        <v>1633430</v>
      </c>
      <c r="K3" s="3">
        <v>1701671</v>
      </c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0</v>
      </c>
      <c r="C5" s="3">
        <v>1109</v>
      </c>
      <c r="D5" s="3">
        <v>283</v>
      </c>
      <c r="E5" s="3">
        <v>0</v>
      </c>
      <c r="F5" s="3">
        <v>0</v>
      </c>
      <c r="G5" s="3">
        <v>0</v>
      </c>
      <c r="H5" s="3">
        <v>1200</v>
      </c>
      <c r="I5" s="3">
        <v>6100</v>
      </c>
      <c r="J5" s="3">
        <v>4600</v>
      </c>
      <c r="K5" s="3">
        <v>2900</v>
      </c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1057612</v>
      </c>
      <c r="C6" s="3">
        <v>1998244</v>
      </c>
      <c r="D6" s="3">
        <v>1813836</v>
      </c>
      <c r="E6" s="3">
        <v>2297882</v>
      </c>
      <c r="F6" s="3">
        <v>2654820</v>
      </c>
      <c r="G6" s="3">
        <v>2476994</v>
      </c>
      <c r="H6" s="3">
        <v>2408641</v>
      </c>
      <c r="I6" s="3">
        <v>1614885</v>
      </c>
      <c r="J6" s="3">
        <v>1563498</v>
      </c>
      <c r="K6" s="3">
        <v>1325080</v>
      </c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46238</v>
      </c>
      <c r="C7" s="3">
        <v>41789</v>
      </c>
      <c r="D7" s="3">
        <v>49770</v>
      </c>
      <c r="E7" s="3">
        <v>1674888</v>
      </c>
      <c r="F7" s="3">
        <v>1317950</v>
      </c>
      <c r="G7" s="3">
        <v>529497</v>
      </c>
      <c r="H7" s="3">
        <v>509267</v>
      </c>
      <c r="I7" s="3">
        <v>216557</v>
      </c>
      <c r="J7" s="3">
        <v>190538</v>
      </c>
      <c r="K7" s="3">
        <v>172170</v>
      </c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1030</v>
      </c>
      <c r="C10" s="3">
        <v>1221</v>
      </c>
      <c r="D10" s="3">
        <v>945</v>
      </c>
      <c r="E10" s="3">
        <v>2345</v>
      </c>
      <c r="F10" s="3">
        <v>2345</v>
      </c>
      <c r="G10" s="3">
        <v>440</v>
      </c>
      <c r="H10" s="3">
        <v>28</v>
      </c>
      <c r="I10" s="3">
        <v>28334</v>
      </c>
      <c r="J10" s="3">
        <v>-1490</v>
      </c>
      <c r="K10" s="3">
        <v>-1986</v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4332</v>
      </c>
      <c r="C11" s="3">
        <v>1649</v>
      </c>
      <c r="D11" s="3">
        <v>1956</v>
      </c>
      <c r="E11" s="3">
        <v>1106</v>
      </c>
      <c r="F11" s="3">
        <v>1106</v>
      </c>
      <c r="G11" s="3">
        <v>838</v>
      </c>
      <c r="H11" s="3">
        <v>1640</v>
      </c>
      <c r="I11" s="3">
        <v>4394</v>
      </c>
      <c r="J11" s="3">
        <v>1919</v>
      </c>
      <c r="K11" s="3">
        <v>1368</v>
      </c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-26215</v>
      </c>
      <c r="C12" s="3">
        <v>-12284</v>
      </c>
      <c r="D12" s="3">
        <v>11221</v>
      </c>
      <c r="E12" s="3">
        <v>12551</v>
      </c>
      <c r="F12" s="3">
        <v>12551</v>
      </c>
      <c r="G12" s="3">
        <v>-4707</v>
      </c>
      <c r="H12" s="3">
        <v>2240489</v>
      </c>
      <c r="I12" s="3">
        <v>4394</v>
      </c>
      <c r="J12" s="3">
        <v>1919</v>
      </c>
      <c r="K12" s="3">
        <v>1368</v>
      </c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>
        <f>Y10-Y11+Y12</f>
      </c>
      <c r="Z13">
        <f>Z10-Z11+Z12</f>
      </c>
    </row>
    <row r="14" spans="1:2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>
        <f>Y9+Y13-Y14</f>
      </c>
      <c r="Z15">
        <f>Z9+Z13-Z14</f>
      </c>
    </row>
    <row r="16" spans="1:24" x14ac:dyDescent="0.25">
      <c r="A16" s="2" t="s">
        <v>15</v>
      </c>
      <c r="B16" s="3">
        <v>-564168</v>
      </c>
      <c r="C16" s="3">
        <v>239413</v>
      </c>
      <c r="D16" s="3">
        <v>-144780</v>
      </c>
      <c r="E16" s="3">
        <v>-724990</v>
      </c>
      <c r="F16" s="3">
        <v>-724990</v>
      </c>
      <c r="G16" s="3">
        <v>959399</v>
      </c>
      <c r="H16" s="3">
        <v>302140</v>
      </c>
      <c r="I16" s="3">
        <v>6697</v>
      </c>
      <c r="J16" s="3">
        <v>0</v>
      </c>
      <c r="K16" s="3">
        <v>1600</v>
      </c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>
        <f>Y15-Y16+Y17-Y18+Y19</f>
      </c>
      <c r="Z20">
        <f>Z15-Z16+Z17-Z18+Z19</f>
      </c>
    </row>
    <row r="21" spans="1:2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5">
      <c r="A22" s="2" t="s">
        <v>20</v>
      </c>
      <c r="B22" s="3">
        <v>46238</v>
      </c>
      <c r="C22" s="3">
        <v>42898</v>
      </c>
      <c r="D22" s="3">
        <v>50053</v>
      </c>
      <c r="E22" s="3">
        <v>63159</v>
      </c>
      <c r="F22" s="3">
        <v>63159</v>
      </c>
      <c r="G22" s="3">
        <v>85419</v>
      </c>
      <c r="H22" s="3">
        <v>86365</v>
      </c>
      <c r="I22" s="3">
        <v>60232</v>
      </c>
      <c r="J22" s="3">
        <v>55040</v>
      </c>
      <c r="K22" s="3">
        <v>51505</v>
      </c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5">
      <c r="A23" s="2" t="s">
        <v>21</v>
      </c>
      <c r="B23" s="3">
        <v>80273</v>
      </c>
      <c r="C23" s="3">
        <v>376968</v>
      </c>
      <c r="D23" s="3">
        <v>364616</v>
      </c>
      <c r="E23" s="3">
        <v>390500</v>
      </c>
      <c r="F23" s="3">
        <v>390500</v>
      </c>
      <c r="G23" s="3">
        <v>369992</v>
      </c>
      <c r="H23" s="3">
        <v>117500</v>
      </c>
      <c r="I23" s="3">
        <v>0</v>
      </c>
      <c r="J23" s="3">
        <v>0</v>
      </c>
      <c r="K23" s="3">
        <v>0</v>
      </c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-535769</v>
      </c>
      <c r="C24" s="3">
        <v>-533922</v>
      </c>
      <c r="D24" s="3">
        <v>85929</v>
      </c>
      <c r="E24" s="3">
        <v>-285394</v>
      </c>
      <c r="F24" s="3">
        <v>-285394</v>
      </c>
      <c r="G24" s="3">
        <v>-799336</v>
      </c>
      <c r="H24" s="3">
        <v>-1572887</v>
      </c>
      <c r="I24" s="3">
        <v>648663</v>
      </c>
      <c r="J24" s="3">
        <v>230397</v>
      </c>
      <c r="K24" s="3">
        <v>330295</v>
      </c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>
        <f>Y20+Y22+Y23+Y24</f>
      </c>
      <c r="Z25">
        <f>Z20+Z22+Z23+Z24</f>
      </c>
    </row>
    <row r="26" spans="1:24" x14ac:dyDescent="0.25">
      <c r="A26" s="2" t="s">
        <v>24</v>
      </c>
      <c r="B26" s="3">
        <v>57200</v>
      </c>
      <c r="C26" s="3">
        <v>111773</v>
      </c>
      <c r="D26" s="3">
        <v>57983</v>
      </c>
      <c r="E26" s="3">
        <v>46831</v>
      </c>
      <c r="F26" s="3">
        <v>65009</v>
      </c>
      <c r="G26" s="3">
        <v>26000</v>
      </c>
      <c r="H26" s="3">
        <v>27092</v>
      </c>
      <c r="I26" s="3">
        <v>30774</v>
      </c>
      <c r="J26" s="3">
        <v>37655</v>
      </c>
      <c r="K26" s="3">
        <v>12842</v>
      </c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>
        <f>Y25-Y26</f>
      </c>
      <c r="Z27">
        <f>Z25-Z26</f>
      </c>
    </row>
    <row r="28" spans="1:2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x14ac:dyDescent="0.25">
      <c r="A36" s="2" t="s">
        <v>32</v>
      </c>
      <c r="B36" s="3">
        <v>98977</v>
      </c>
      <c r="C36" s="3">
        <v>171304</v>
      </c>
      <c r="D36" s="3">
        <v>179876</v>
      </c>
      <c r="E36" s="3">
        <v>171013</v>
      </c>
      <c r="F36" s="3">
        <v>162107</v>
      </c>
      <c r="G36" s="3">
        <v>222926</v>
      </c>
      <c r="H36" s="3">
        <v>164997</v>
      </c>
      <c r="I36" s="3">
        <v>135539</v>
      </c>
      <c r="J36" s="3">
        <v>118154</v>
      </c>
      <c r="K36" s="3">
        <v>79491</v>
      </c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x14ac:dyDescent="0.25">
      <c r="A37" s="2" t="s">
        <v>33</v>
      </c>
      <c r="B37" s="3">
        <v>2632576</v>
      </c>
      <c r="C37" s="3">
        <v>3212683</v>
      </c>
      <c r="D37" s="3">
        <v>4380977</v>
      </c>
      <c r="E37" s="3">
        <v>5077693</v>
      </c>
      <c r="F37" s="3">
        <v>4576192</v>
      </c>
      <c r="G37" s="3">
        <v>5857217</v>
      </c>
      <c r="H37" s="3">
        <v>3615557</v>
      </c>
      <c r="I37" s="3">
        <v>4301115</v>
      </c>
      <c r="J37" s="3">
        <v>3748782</v>
      </c>
      <c r="K37" s="3">
        <v>4180750</v>
      </c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349223</v>
      </c>
      <c r="C38" s="3">
        <v>379376</v>
      </c>
      <c r="D38" s="3">
        <v>547171</v>
      </c>
      <c r="E38" s="3">
        <v>385139</v>
      </c>
      <c r="F38" s="3">
        <v>899047</v>
      </c>
      <c r="G38" s="3">
        <v>789419</v>
      </c>
      <c r="H38" s="3">
        <v>594883</v>
      </c>
      <c r="I38" s="3">
        <v>619534</v>
      </c>
      <c r="J38" s="3">
        <v>307328</v>
      </c>
      <c r="K38" s="3">
        <v>858295</v>
      </c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2023-12-22T01:44:17Z</cp:lastPrinted>
  <dcterms:created xsi:type="dcterms:W3CDTF">2023-12-22T01:44:17Z</dcterms:created>
  <dcterms:modified xsi:type="dcterms:W3CDTF">2023-12-22T01:44:17Z</dcterms:modified>
</cp:coreProperties>
</file>