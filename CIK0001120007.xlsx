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<sst xmlns="http://schemas.openxmlformats.org/spreadsheetml/2006/main" count="72" uniqueCount="68">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</sst>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39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13" x14ac:dyDescent="0.25">
      <c r="A2" t="s">
        <v>1</v>
      </c>
      <c r="B2">
        <v>0</v>
      </c>
      <c r="C2">
        <v>0</v>
      </c>
      <c r="D2">
        <v>0</v>
      </c>
      <c r="E2">
        <v>0</v>
      </c>
      <c r="F2">
        <v>0</v>
      </c>
      <c r="G2">
        <v>5350</v>
      </c>
      <c r="H2">
        <v>113387</v>
      </c>
      <c r="I2">
        <v>123105</v>
      </c>
      <c r="J2">
        <v>266122</v>
      </c>
      <c r="K2">
        <v>708405</v>
      </c>
      <c r="L2">
        <v>2519914</v>
      </c>
      <c r="M2">
        <v>1281177</v>
      </c>
    </row>
    <row r="3" spans="1:13" x14ac:dyDescent="0.25">
      <c r="A3" t="s">
        <v>2</v>
      </c>
      <c r="B3">
        <v>0</v>
      </c>
      <c r="C3">
        <v>0</v>
      </c>
      <c r="D3">
        <v>0</v>
      </c>
      <c r="E3">
        <v>-17000</v>
      </c>
      <c r="F3">
        <v>0</v>
      </c>
      <c r="G3">
        <v>5209</v>
      </c>
      <c r="H3">
        <v>110887</v>
      </c>
      <c r="I3">
        <v>81825</v>
      </c>
      <c r="J3">
        <v>-222899</v>
      </c>
      <c r="K3">
        <v>-183472</v>
      </c>
      <c r="L3">
        <v>782651</v>
      </c>
      <c r="M3">
        <v>-101202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13" x14ac:dyDescent="0.25">
      <c r="A5" t="s">
        <v>4</v>
      </c>
      <c r="B5">
        <v>0</v>
      </c>
      <c r="C5">
        <v>0</v>
      </c>
      <c r="D5">
        <v>0</v>
      </c>
      <c r="E5">
        <v>0</v>
      </c>
      <c r="F5">
        <v>0</v>
      </c>
      <c r="G5">
        <v>29871</v>
      </c>
      <c r="H5">
        <v>147917</v>
      </c>
      <c r="I5">
        <v>315385</v>
      </c>
      <c r="J5">
        <v>14000</v>
      </c>
      <c r="K5">
        <v>6149</v>
      </c>
      <c r="L5">
        <v>40429</v>
      </c>
      <c r="M5">
        <v>38630</v>
      </c>
    </row>
    <row r="6" spans="1:13" x14ac:dyDescent="0.25">
      <c r="A6" t="s">
        <v>5</v>
      </c>
      <c r="B6">
        <v>6163</v>
      </c>
      <c r="C6">
        <v>28814</v>
      </c>
      <c r="D6">
        <v>31588</v>
      </c>
      <c r="E6">
        <v>24345</v>
      </c>
      <c r="F6">
        <v>17490</v>
      </c>
      <c r="G6">
        <v>418866</v>
      </c>
      <c r="H6">
        <v>774476</v>
      </c>
      <c r="I6">
        <v>1745792</v>
      </c>
      <c r="J6">
        <v>2509924</v>
      </c>
      <c r="K6">
        <v>1922941</v>
      </c>
      <c r="L6">
        <v>2485379</v>
      </c>
      <c r="M6">
        <v>3204922</v>
      </c>
    </row>
    <row r="7" spans="1:13" x14ac:dyDescent="0.25">
      <c r="A7" t="s">
        <v>6</v>
      </c>
      <c r="B7">
        <v>0</v>
      </c>
      <c r="C7">
        <v>0</v>
      </c>
      <c r="D7">
        <v>0</v>
      </c>
      <c r="E7">
        <v>17000</v>
      </c>
      <c r="F7">
        <v>0</v>
      </c>
      <c r="G7">
        <v>35520</v>
      </c>
      <c r="H7">
        <v>25772</v>
      </c>
      <c r="I7">
        <v>249005</v>
      </c>
      <c r="J7">
        <v>425828</v>
      </c>
      <c r="K7">
        <v>-1396972</v>
      </c>
      <c r="L7">
        <v>-772266</v>
      </c>
      <c r="M7">
        <v>158132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0</v>
      </c>
      <c r="C10">
        <v>0</v>
      </c>
      <c r="D10">
        <v>0</v>
      </c>
      <c r="E10">
        <v>0</v>
      </c>
      <c r="F10">
        <v>0</v>
      </c>
      <c r="G10">
        <v>0</v>
      </c>
      <c r="H10">
        <v>0</v>
      </c>
      <c r="I10">
        <v>0</v>
      </c>
      <c r="J10">
        <v>0</v>
      </c>
      <c r="K10">
        <v>0</v>
      </c>
      <c r="L10">
        <v>0</v>
      </c>
      <c r="M10">
        <v>0</v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13" x14ac:dyDescent="0.25">
      <c r="A11" t="s">
        <v>10</v>
      </c>
      <c r="B11">
        <v>0</v>
      </c>
      <c r="C11">
        <v>6019</v>
      </c>
      <c r="D11">
        <v>-4162</v>
      </c>
      <c r="E11">
        <v>4499</v>
      </c>
      <c r="F11">
        <v>5017</v>
      </c>
      <c r="G11">
        <v>10174</v>
      </c>
      <c r="H11">
        <v>48060</v>
      </c>
      <c r="I11">
        <v>81201</v>
      </c>
      <c r="J11">
        <v>207212</v>
      </c>
      <c r="K11">
        <v>2041695</v>
      </c>
      <c r="L11">
        <v>1384950</v>
      </c>
      <c r="M11">
        <v>472775</v>
      </c>
    </row>
    <row r="12" spans="1:13" x14ac:dyDescent="0.25">
      <c r="A12" t="s">
        <v>11</v>
      </c>
      <c r="B12">
        <v>6163</v>
      </c>
      <c r="C12">
        <v>34833</v>
      </c>
      <c r="D12">
        <v>-11272</v>
      </c>
      <c r="E12">
        <v>-4840</v>
      </c>
      <c r="F12">
        <v>-6524</v>
      </c>
      <c r="G12">
        <v>0</v>
      </c>
      <c r="H12">
        <v>-1255928</v>
      </c>
      <c r="I12">
        <v>-371433</v>
      </c>
      <c r="J12">
        <v>-514540</v>
      </c>
      <c r="K12">
        <v>-14896628</v>
      </c>
      <c r="L12">
        <v>-2410816</v>
      </c>
      <c r="M12">
        <v>3480699</v>
      </c>
    </row>
    <row r="13" spans="1:26" x14ac:dyDescent="0.25">
      <c r="A13" t="s">
        <v>12</v>
      </c>
      <c r="B13">
        <f>B10-B11+B12</f>
      </c>
      <c r="C13">
        <f>C10-C11+C12</f>
      </c>
      <c r="D13">
        <f>D10-D11+D12</f>
      </c>
      <c r="E13">
        <f>E10-E11+E12</f>
      </c>
      <c r="F13">
        <f>F10-F11+F12</f>
      </c>
      <c r="G13">
        <f>G10-G11+G12</f>
      </c>
      <c r="H13">
        <f>H10-H11+H12</f>
      </c>
      <c r="I13">
        <f>I10-I11+I12</f>
      </c>
      <c r="J13">
        <f>J10-J11+J12</f>
      </c>
      <c r="K13">
        <f>K10-K11+K12</f>
      </c>
      <c r="L13">
        <f>L10-L11+L12</f>
      </c>
      <c r="M13">
        <f>M10-M11+M12</f>
      </c>
      <c r="N13">
        <f>N10-N11+N12</f>
      </c>
      <c r="O13">
        <f>O10-O11+O12</f>
      </c>
      <c r="P13">
        <f>P10-P11+P12</f>
      </c>
      <c r="Q13">
        <f>Q10-Q11+Q12</f>
      </c>
      <c r="R13">
        <f>R10-R11+R12</f>
      </c>
      <c r="S13">
        <f>S10-S11+S12</f>
      </c>
      <c r="T13">
        <f>T10-T11+T12</f>
      </c>
      <c r="U13">
        <f>U10-U11+U12</f>
      </c>
      <c r="V13">
        <f>V10-V11+V12</f>
      </c>
      <c r="W13">
        <f>W10-W11+W12</f>
      </c>
      <c r="X13">
        <f>X10-X11+X12</f>
      </c>
      <c r="Y13">
        <f>Y10-Y11+Y12</f>
      </c>
      <c r="Z13">
        <f>Z10-Z11+Z12</f>
      </c>
    </row>
    <row r="14" spans="1:1" x14ac:dyDescent="0.25">
      <c r="A14" t="s">
        <v>13</v>
      </c>
    </row>
    <row r="15" spans="1:26" x14ac:dyDescent="0.25">
      <c r="A15" t="s">
        <v>14</v>
      </c>
      <c r="B15">
        <f>B9+B13-B14</f>
      </c>
      <c r="C15">
        <f>C9+C13-C14</f>
      </c>
      <c r="D15">
        <f>D9+D13-D14</f>
      </c>
      <c r="E15">
        <f>E9+E13-E14</f>
      </c>
      <c r="F15">
        <f>F9+F13-F14</f>
      </c>
      <c r="G15">
        <f>G9+G13-G14</f>
      </c>
      <c r="H15">
        <f>H9+H13-H14</f>
      </c>
      <c r="I15">
        <f>I9+I13-I14</f>
      </c>
      <c r="J15">
        <f>J9+J13-J14</f>
      </c>
      <c r="K15">
        <f>K9+K13-K14</f>
      </c>
      <c r="L15">
        <f>L9+L13-L14</f>
      </c>
      <c r="M15">
        <f>M9+M13-M14</f>
      </c>
      <c r="N15">
        <f>N9+N13-N14</f>
      </c>
      <c r="O15">
        <f>O9+O13-O14</f>
      </c>
      <c r="P15">
        <f>P9+P13-P14</f>
      </c>
      <c r="Q15">
        <f>Q9+Q13-Q14</f>
      </c>
      <c r="R15">
        <f>R9+R13-R14</f>
      </c>
      <c r="S15">
        <f>S9+S13-S14</f>
      </c>
      <c r="T15">
        <f>T9+T13-T14</f>
      </c>
      <c r="U15">
        <f>U9+U13-U14</f>
      </c>
      <c r="V15">
        <f>V9+V13-V14</f>
      </c>
      <c r="W15">
        <f>W9+W13-W14</f>
      </c>
      <c r="X15">
        <f>X9+X13-X14</f>
      </c>
      <c r="Y15">
        <f>Y9+Y13-Y14</f>
      </c>
      <c r="Z15">
        <f>Z9+Z13-Z14</f>
      </c>
    </row>
    <row r="16" spans="1:13" x14ac:dyDescent="0.25">
      <c r="A16" t="s">
        <v>15</v>
      </c>
      <c r="B16">
        <v>0</v>
      </c>
      <c r="C16">
        <v>0</v>
      </c>
      <c r="D16">
        <v>0</v>
      </c>
      <c r="E16">
        <v>0</v>
      </c>
      <c r="F16">
        <v>0</v>
      </c>
      <c r="G16">
        <v>0</v>
      </c>
      <c r="H16">
        <v>0</v>
      </c>
      <c r="I16">
        <v>0</v>
      </c>
      <c r="J16">
        <v>0</v>
      </c>
      <c r="K16">
        <v>0</v>
      </c>
      <c r="L16">
        <v>0</v>
      </c>
      <c r="M16">
        <v>0</v>
      </c>
    </row>
    <row r="17" spans="1:13" x14ac:dyDescent="0.25">
      <c r="A17" t="s">
        <v>16</v>
      </c>
      <c r="B17">
        <v>-6163</v>
      </c>
      <c r="C17">
        <v>-34833</v>
      </c>
      <c r="D17">
        <v>0</v>
      </c>
      <c r="E17">
        <v>0</v>
      </c>
      <c r="F17">
        <v>0</v>
      </c>
      <c r="G17">
        <v>0</v>
      </c>
      <c r="H17">
        <v>0</v>
      </c>
      <c r="I17">
        <v>0</v>
      </c>
      <c r="J17">
        <v>0</v>
      </c>
      <c r="K17">
        <v>0</v>
      </c>
      <c r="L17">
        <v>0</v>
      </c>
      <c r="M17">
        <v>0</v>
      </c>
    </row>
    <row r="18" spans="1:13" x14ac:dyDescent="0.25">
      <c r="A18" t="s">
        <v>17</v>
      </c>
      <c r="B18">
        <v>0</v>
      </c>
      <c r="C18">
        <v>0</v>
      </c>
      <c r="D18">
        <v>0</v>
      </c>
      <c r="E18">
        <v>0</v>
      </c>
      <c r="F18">
        <v>0</v>
      </c>
      <c r="G18">
        <v>0</v>
      </c>
      <c r="H18">
        <v>0</v>
      </c>
      <c r="I18">
        <v>0</v>
      </c>
      <c r="J18">
        <v>0</v>
      </c>
      <c r="K18">
        <v>0</v>
      </c>
      <c r="L18">
        <v>0</v>
      </c>
      <c r="M18">
        <v>0</v>
      </c>
    </row>
    <row r="19" spans="1:13" x14ac:dyDescent="0.25">
      <c r="A19" t="s">
        <v>18</v>
      </c>
      <c r="B19">
        <v>0</v>
      </c>
      <c r="C19">
        <v>0</v>
      </c>
      <c r="D19">
        <v>0</v>
      </c>
      <c r="E19">
        <v>0</v>
      </c>
      <c r="F19">
        <v>0</v>
      </c>
      <c r="G19">
        <v>0</v>
      </c>
      <c r="H19">
        <v>0</v>
      </c>
      <c r="I19">
        <v>0</v>
      </c>
      <c r="J19">
        <v>0</v>
      </c>
      <c r="K19">
        <v>0</v>
      </c>
      <c r="L19">
        <v>0</v>
      </c>
      <c r="M19">
        <v>0</v>
      </c>
    </row>
    <row r="20" spans="1:26" x14ac:dyDescent="0.25">
      <c r="A20" t="s">
        <v>19</v>
      </c>
      <c r="B20">
        <f>B15-B16+B17-B18+B19</f>
      </c>
      <c r="C20">
        <f>C15-C16+C17-C18+C19</f>
      </c>
      <c r="D20">
        <f>D15-D16+D17-D18+D19</f>
      </c>
      <c r="E20">
        <f>E15-E16+E17-E18+E19</f>
      </c>
      <c r="F20">
        <f>F15-F16+F17-F18+F19</f>
      </c>
      <c r="G20">
        <f>G15-G16+G17-G18+G19</f>
      </c>
      <c r="H20">
        <f>H15-H16+H17-H18+H19</f>
      </c>
      <c r="I20">
        <f>I15-I16+I17-I18+I19</f>
      </c>
      <c r="J20">
        <f>J15-J16+J17-J18+J19</f>
      </c>
      <c r="K20">
        <f>K15-K16+K17-K18+K19</f>
      </c>
      <c r="L20">
        <f>L15-L16+L17-L18+L19</f>
      </c>
      <c r="M20">
        <f>M15-M16+M17-M18+M19</f>
      </c>
      <c r="N20">
        <f>N15-N16+N17-N18+N19</f>
      </c>
      <c r="O20">
        <f>O15-O16+O17-O18+O19</f>
      </c>
      <c r="P20">
        <f>P15-P16+P17-P18+P19</f>
      </c>
      <c r="Q20">
        <f>Q15-Q16+Q17-Q18+Q19</f>
      </c>
      <c r="R20">
        <f>R15-R16+R17-R18+R19</f>
      </c>
      <c r="S20">
        <f>S15-S16+S17-S18+S19</f>
      </c>
      <c r="T20">
        <f>T15-T16+T17-T18+T19</f>
      </c>
      <c r="U20">
        <f>U15-U16+U17-U18+U19</f>
      </c>
      <c r="V20">
        <f>V15-V16+V17-V18+V19</f>
      </c>
      <c r="W20">
        <f>W15-W16+W17-W18+W19</f>
      </c>
      <c r="X20">
        <f>X15-X16+X17-X18+X19</f>
      </c>
      <c r="Y20">
        <f>Y15-Y16+Y17-Y18+Y19</f>
      </c>
      <c r="Z20">
        <f>Z15-Z16+Z17-Z18+Z19</f>
      </c>
    </row>
    <row r="22" spans="1:13" x14ac:dyDescent="0.25">
      <c r="A22" t="s">
        <v>20</v>
      </c>
      <c r="B22">
        <v>0</v>
      </c>
      <c r="C22">
        <v>0</v>
      </c>
      <c r="D22">
        <v>0</v>
      </c>
      <c r="E22">
        <v>17000</v>
      </c>
      <c r="F22">
        <v>0</v>
      </c>
      <c r="G22">
        <v>35701</v>
      </c>
      <c r="H22">
        <v>38518</v>
      </c>
      <c r="I22">
        <v>291590</v>
      </c>
      <c r="J22">
        <v>336708</v>
      </c>
      <c r="K22">
        <v>338028</v>
      </c>
      <c r="L22">
        <v>348708</v>
      </c>
      <c r="M22">
        <v>367534</v>
      </c>
    </row>
    <row r="23" spans="1:13" x14ac:dyDescent="0.25">
      <c r="A23" t="s">
        <v>21</v>
      </c>
      <c r="B23">
        <v>0</v>
      </c>
      <c r="C23">
        <v>0</v>
      </c>
      <c r="D23">
        <v>0</v>
      </c>
      <c r="E23">
        <v>0</v>
      </c>
      <c r="F23">
        <v>0</v>
      </c>
      <c r="G23">
        <v>0</v>
      </c>
      <c r="H23">
        <v>48703</v>
      </c>
      <c r="I23">
        <v>430020</v>
      </c>
      <c r="J23">
        <v>0</v>
      </c>
      <c r="K23">
        <v>0</v>
      </c>
      <c r="L23">
        <v>0</v>
      </c>
      <c r="M23">
        <v>104369</v>
      </c>
    </row>
    <row r="24" spans="1:13" x14ac:dyDescent="0.25">
      <c r="A24" t="s">
        <v>22</v>
      </c>
      <c r="B24">
        <v>6163</v>
      </c>
      <c r="C24">
        <v>28914</v>
      </c>
      <c r="D24">
        <v>24440</v>
      </c>
      <c r="E24">
        <v>8440</v>
      </c>
      <c r="F24">
        <v>22042</v>
      </c>
      <c r="G24">
        <v>14142</v>
      </c>
      <c r="H24">
        <v>1278158</v>
      </c>
      <c r="I24">
        <v>566740</v>
      </c>
      <c r="J24">
        <v>2009073</v>
      </c>
      <c r="K24">
        <v>15441119</v>
      </c>
      <c r="L24">
        <v>2632673</v>
      </c>
      <c r="M24">
        <v>-2969162</v>
      </c>
    </row>
    <row r="25" spans="1:26" x14ac:dyDescent="0.25">
      <c r="A25" t="s">
        <v>23</v>
      </c>
      <c r="B25">
        <f>B20+B22+B23+B24</f>
      </c>
      <c r="C25">
        <f>C20+C22+C23+C24</f>
      </c>
      <c r="D25">
        <f>D20+D22+D23+D24</f>
      </c>
      <c r="E25">
        <f>E20+E22+E23+E24</f>
      </c>
      <c r="F25">
        <f>F20+F22+F23+F24</f>
      </c>
      <c r="G25">
        <f>G20+G22+G23+G24</f>
      </c>
      <c r="H25">
        <f>H20+H22+H23+H24</f>
      </c>
      <c r="I25">
        <f>I20+I22+I23+I24</f>
      </c>
      <c r="J25">
        <f>J20+J22+J23+J24</f>
      </c>
      <c r="K25">
        <f>K20+K22+K23+K24</f>
      </c>
      <c r="L25">
        <f>L20+L22+L23+L24</f>
      </c>
      <c r="M25">
        <f>M20+M22+M23+M24</f>
      </c>
      <c r="N25">
        <f>N20+N22+N23+N24</f>
      </c>
      <c r="O25">
        <f>O20+O22+O23+O24</f>
      </c>
      <c r="P25">
        <f>P20+P22+P23+P24</f>
      </c>
      <c r="Q25">
        <f>Q20+Q22+Q23+Q24</f>
      </c>
      <c r="R25">
        <f>R20+R22+R23+R24</f>
      </c>
      <c r="S25">
        <f>S20+S22+S23+S24</f>
      </c>
      <c r="T25">
        <f>T20+T22+T23+T24</f>
      </c>
      <c r="U25">
        <f>U20+U22+U23+U24</f>
      </c>
      <c r="V25">
        <f>V20+V22+V23+V24</f>
      </c>
      <c r="W25">
        <f>W20+W22+W23+W24</f>
      </c>
      <c r="X25">
        <f>X20+X22+X23+X24</f>
      </c>
      <c r="Y25">
        <f>Y20+Y22+Y23+Y24</f>
      </c>
      <c r="Z25">
        <f>Z20+Z22+Z23+Z24</f>
      </c>
    </row>
    <row r="26" spans="1:13" x14ac:dyDescent="0.25">
      <c r="A26" t="s">
        <v>24</v>
      </c>
      <c r="B26">
        <v>0</v>
      </c>
      <c r="C26">
        <v>0</v>
      </c>
      <c r="D26">
        <v>0</v>
      </c>
      <c r="E26">
        <v>0</v>
      </c>
      <c r="F26">
        <v>0</v>
      </c>
      <c r="G26">
        <v>29808</v>
      </c>
      <c r="H26">
        <v>12372</v>
      </c>
      <c r="I26">
        <v>132297</v>
      </c>
      <c r="J26">
        <v>181443</v>
      </c>
      <c r="K26">
        <v>2516</v>
      </c>
      <c r="L26">
        <v>163133</v>
      </c>
      <c r="M26">
        <v>468866</v>
      </c>
    </row>
    <row r="27" spans="1:26" x14ac:dyDescent="0.25">
      <c r="A27" t="s">
        <v>25</v>
      </c>
      <c r="B27">
        <f>B25-B26</f>
      </c>
      <c r="C27">
        <f>C25-C26</f>
      </c>
      <c r="D27">
        <f>D25-D26</f>
      </c>
      <c r="E27">
        <f>E25-E26</f>
      </c>
      <c r="F27">
        <f>F25-F26</f>
      </c>
      <c r="G27">
        <f>G25-G26</f>
      </c>
      <c r="H27">
        <f>H25-H26</f>
      </c>
      <c r="I27">
        <f>I25-I26</f>
      </c>
      <c r="J27">
        <f>J25-J26</f>
      </c>
      <c r="K27">
        <f>K25-K26</f>
      </c>
      <c r="L27">
        <f>L25-L26</f>
      </c>
      <c r="M27">
        <f>M25-M26</f>
      </c>
      <c r="N27">
        <f>N25-N26</f>
      </c>
      <c r="O27">
        <f>O25-O26</f>
      </c>
      <c r="P27">
        <f>P25-P26</f>
      </c>
      <c r="Q27">
        <f>Q25-Q26</f>
      </c>
      <c r="R27">
        <f>R25-R26</f>
      </c>
      <c r="S27">
        <f>S25-S26</f>
      </c>
      <c r="T27">
        <f>T25-T26</f>
      </c>
      <c r="U27">
        <f>U25-U26</f>
      </c>
      <c r="V27">
        <f>V25-V26</f>
      </c>
      <c r="W27">
        <f>W25-W26</f>
      </c>
      <c r="X27">
        <f>X25-X26</f>
      </c>
      <c r="Y27">
        <f>Y25-Y26</f>
      </c>
      <c r="Z27">
        <f>Z25-Z26</f>
      </c>
    </row>
    <row r="29" spans="1:26" x14ac:dyDescent="0.25">
      <c r="A29" t="s">
        <v>26</v>
      </c>
      <c r="C29">
        <f>IF(AND(COUNT(B2,C2)=2, C2&lt;&gt;0, B2&lt;&gt;0), C2/B2-1, " ")</f>
      </c>
      <c r="D29">
        <f>IF(AND(COUNT(C2,D2)=2, D2&lt;&gt;0, C2&lt;&gt;0), D2/C2-1, " ")</f>
      </c>
      <c r="E29">
        <f>IF(AND(COUNT(D2,E2)=2, E2&lt;&gt;0, D2&lt;&gt;0), E2/D2-1, " ")</f>
      </c>
      <c r="F29">
        <f>IF(AND(COUNT(E2,F2)=2, F2&lt;&gt;0, E2&lt;&gt;0), F2/E2-1, " ")</f>
      </c>
      <c r="G29">
        <f>IF(AND(COUNT(F2,G2)=2, G2&lt;&gt;0, F2&lt;&gt;0), G2/F2-1, " ")</f>
      </c>
      <c r="H29">
        <f>IF(AND(COUNT(G2,H2)=2, H2&lt;&gt;0, G2&lt;&gt;0), H2/G2-1, " ")</f>
      </c>
      <c r="I29">
        <f>IF(AND(COUNT(H2,I2)=2, I2&lt;&gt;0, H2&lt;&gt;0), I2/H2-1, " ")</f>
      </c>
      <c r="J29">
        <f>IF(AND(COUNT(I2,J2)=2, J2&lt;&gt;0, I2&lt;&gt;0), J2/I2-1, " ")</f>
      </c>
      <c r="K29">
        <f>IF(AND(COUNT(J2,K2)=2, K2&lt;&gt;0, J2&lt;&gt;0), K2/J2-1, " ")</f>
      </c>
      <c r="L29">
        <f>IF(AND(COUNT(K2,L2)=2, L2&lt;&gt;0, K2&lt;&gt;0), L2/K2-1, " ")</f>
      </c>
      <c r="M29">
        <f>IF(AND(COUNT(L2,M2)=2, M2&lt;&gt;0, L2&lt;&gt;0), M2/L2-1, " ")</f>
      </c>
      <c r="N29">
        <f>IF(AND(COUNT(M2,N2)=2, N2&lt;&gt;0, M2&lt;&gt;0), N2/M2-1, " ")</f>
      </c>
      <c r="O29">
        <f>IF(AND(COUNT(N2,O2)=2, O2&lt;&gt;0, N2&lt;&gt;0), O2/N2-1, " ")</f>
      </c>
      <c r="P29">
        <f>IF(AND(COUNT(O2,P2)=2, P2&lt;&gt;0, O2&lt;&gt;0), P2/O2-1, " ")</f>
      </c>
      <c r="Q29">
        <f>IF(AND(COUNT(P2,Q2)=2, Q2&lt;&gt;0, P2&lt;&gt;0), Q2/P2-1, " ")</f>
      </c>
      <c r="R29">
        <f>IF(AND(COUNT(Q2,R2)=2, R2&lt;&gt;0, Q2&lt;&gt;0), R2/Q2-1, " ")</f>
      </c>
      <c r="S29">
        <f>IF(AND(COUNT(R2,S2)=2, S2&lt;&gt;0, R2&lt;&gt;0), S2/R2-1, " ")</f>
      </c>
      <c r="T29">
        <f>IF(AND(COUNT(S2,T2)=2, T2&lt;&gt;0, S2&lt;&gt;0), T2/S2-1, " ")</f>
      </c>
      <c r="U29">
        <f>IF(AND(COUNT(T2,U2)=2, U2&lt;&gt;0, T2&lt;&gt;0), U2/T2-1, " ")</f>
      </c>
      <c r="V29">
        <f>IF(AND(COUNT(U2,V2)=2, V2&lt;&gt;0, U2&lt;&gt;0), V2/U2-1, " ")</f>
      </c>
      <c r="W29">
        <f>IF(AND(COUNT(V2,W2)=2, W2&lt;&gt;0, V2&lt;&gt;0), W2/V2-1, " ")</f>
      </c>
      <c r="X29">
        <f>IF(AND(COUNT(W2,X2)=2, X2&lt;&gt;0, W2&lt;&gt;0), X2/W2-1, " ")</f>
      </c>
      <c r="Y29">
        <f>IF(AND(COUNT(X2,Y2)=2, Y2&lt;&gt;0, X2&lt;&gt;0), Y2/X2-1, " ")</f>
      </c>
      <c r="Z29">
        <f>IF(AND(COUNT(Y2,Z2)=2, Z2&lt;&gt;0, Y2&lt;&gt;0), Z2/Y2-1, " ")</f>
      </c>
    </row>
    <row r="30" spans="1:26" x14ac:dyDescent="0.25">
      <c r="A30" t="s">
        <v>27</v>
      </c>
      <c r="B30">
        <f>IF(AND(COUNT(B2,B4)=2, B2&lt;&gt;0), B4/B2, " ")</f>
      </c>
      <c r="C30">
        <f>IF(AND(COUNT(C2,C4)=2, C2&lt;&gt;0), C4/C2, " ")</f>
      </c>
      <c r="D30">
        <f>IF(AND(COUNT(D2,D4)=2, D2&lt;&gt;0), D4/D2, " ")</f>
      </c>
      <c r="E30">
        <f>IF(AND(COUNT(E2,E4)=2, E2&lt;&gt;0), E4/E2, " ")</f>
      </c>
      <c r="F30">
        <f>IF(AND(COUNT(F2,F4)=2, F2&lt;&gt;0), F4/F2, " ")</f>
      </c>
      <c r="G30">
        <f>IF(AND(COUNT(G2,G4)=2, G2&lt;&gt;0), G4/G2, " ")</f>
      </c>
      <c r="H30">
        <f>IF(AND(COUNT(H2,H4)=2, H2&lt;&gt;0), H4/H2, " ")</f>
      </c>
      <c r="I30">
        <f>IF(AND(COUNT(I2,I4)=2, I2&lt;&gt;0), I4/I2, " ")</f>
      </c>
      <c r="J30">
        <f>IF(AND(COUNT(J2,J4)=2, J2&lt;&gt;0), J4/J2, " ")</f>
      </c>
      <c r="K30">
        <f>IF(AND(COUNT(K2,K4)=2, K2&lt;&gt;0), K4/K2, " ")</f>
      </c>
      <c r="L30">
        <f>IF(AND(COUNT(L2,L4)=2, L2&lt;&gt;0), L4/L2, " ")</f>
      </c>
      <c r="M30">
        <f>IF(AND(COUNT(M2,M4)=2, M2&lt;&gt;0), M4/M2, " ")</f>
      </c>
      <c r="N30">
        <f>IF(AND(COUNT(N2,N4)=2, N2&lt;&gt;0), N4/N2, " ")</f>
      </c>
      <c r="O30">
        <f>IF(AND(COUNT(O2,O4)=2, O2&lt;&gt;0), O4/O2, " ")</f>
      </c>
      <c r="P30">
        <f>IF(AND(COUNT(P2,P4)=2, P2&lt;&gt;0), P4/P2, " ")</f>
      </c>
      <c r="Q30">
        <f>IF(AND(COUNT(Q2,Q4)=2, Q2&lt;&gt;0), Q4/Q2, " ")</f>
      </c>
      <c r="R30">
        <f>IF(AND(COUNT(R2,R4)=2, R2&lt;&gt;0), R4/R2, " ")</f>
      </c>
      <c r="S30">
        <f>IF(AND(COUNT(S2,S4)=2, S2&lt;&gt;0), S4/S2, " ")</f>
      </c>
      <c r="T30">
        <f>IF(AND(COUNT(T2,T4)=2, T2&lt;&gt;0), T4/T2, " ")</f>
      </c>
      <c r="U30">
        <f>IF(AND(COUNT(U2,U4)=2, U2&lt;&gt;0), U4/U2, " ")</f>
      </c>
      <c r="V30">
        <f>IF(AND(COUNT(V2,V4)=2, V2&lt;&gt;0), V4/V2, " ")</f>
      </c>
      <c r="W30">
        <f>IF(AND(COUNT(W2,W4)=2, W2&lt;&gt;0), W4/W2, " ")</f>
      </c>
      <c r="X30">
        <f>IF(AND(COUNT(X2,X4)=2, X2&lt;&gt;0), X4/X2, " ")</f>
      </c>
      <c r="Y30">
        <f>IF(AND(COUNT(Y2,Y4)=2, Y2&lt;&gt;0), Y4/Y2, " ")</f>
      </c>
      <c r="Z30">
        <f>IF(AND(COUNT(Z2,Z4)=2, Z2&lt;&gt;0), Z4/Z2, " ")</f>
      </c>
    </row>
    <row r="31" spans="1:26" x14ac:dyDescent="0.25">
      <c r="A31" t="s">
        <v>28</v>
      </c>
      <c r="B31">
        <f>IF(AND(COUNT(B2,B9)=2, B2&lt;&gt;0), B9/B2, " ")</f>
      </c>
      <c r="C31">
        <f>IF(AND(COUNT(C2,C9)=2, C2&lt;&gt;0), C9/C2, " ")</f>
      </c>
      <c r="D31">
        <f>IF(AND(COUNT(D2,D9)=2, D2&lt;&gt;0), D9/D2, " ")</f>
      </c>
      <c r="E31">
        <f>IF(AND(COUNT(E2,E9)=2, E2&lt;&gt;0), E9/E2, " ")</f>
      </c>
      <c r="F31">
        <f>IF(AND(COUNT(F2,F9)=2, F2&lt;&gt;0), F9/F2, " ")</f>
      </c>
      <c r="G31">
        <f>IF(AND(COUNT(G2,G9)=2, G2&lt;&gt;0), G9/G2, " ")</f>
      </c>
      <c r="H31">
        <f>IF(AND(COUNT(H2,H9)=2, H2&lt;&gt;0), H9/H2, " ")</f>
      </c>
      <c r="I31">
        <f>IF(AND(COUNT(I2,I9)=2, I2&lt;&gt;0), I9/I2, " ")</f>
      </c>
      <c r="J31">
        <f>IF(AND(COUNT(J2,J9)=2, J2&lt;&gt;0), J9/J2, " ")</f>
      </c>
      <c r="K31">
        <f>IF(AND(COUNT(K2,K9)=2, K2&lt;&gt;0), K9/K2, " ")</f>
      </c>
      <c r="L31">
        <f>IF(AND(COUNT(L2,L9)=2, L2&lt;&gt;0), L9/L2, " ")</f>
      </c>
      <c r="M31">
        <f>IF(AND(COUNT(M2,M9)=2, M2&lt;&gt;0), M9/M2, " ")</f>
      </c>
      <c r="N31">
        <f>IF(AND(COUNT(N2,N9)=2, N2&lt;&gt;0), N9/N2, " ")</f>
      </c>
      <c r="O31">
        <f>IF(AND(COUNT(O2,O9)=2, O2&lt;&gt;0), O9/O2, " ")</f>
      </c>
      <c r="P31">
        <f>IF(AND(COUNT(P2,P9)=2, P2&lt;&gt;0), P9/P2, " ")</f>
      </c>
      <c r="Q31">
        <f>IF(AND(COUNT(Q2,Q9)=2, Q2&lt;&gt;0), Q9/Q2, " ")</f>
      </c>
      <c r="R31">
        <f>IF(AND(COUNT(R2,R9)=2, R2&lt;&gt;0), R9/R2, " ")</f>
      </c>
      <c r="S31">
        <f>IF(AND(COUNT(S2,S9)=2, S2&lt;&gt;0), S9/S2, " ")</f>
      </c>
      <c r="T31">
        <f>IF(AND(COUNT(T2,T9)=2, T2&lt;&gt;0), T9/T2, " ")</f>
      </c>
      <c r="U31">
        <f>IF(AND(COUNT(U2,U9)=2, U2&lt;&gt;0), U9/U2, " ")</f>
      </c>
      <c r="V31">
        <f>IF(AND(COUNT(V2,V9)=2, V2&lt;&gt;0), V9/V2, " ")</f>
      </c>
      <c r="W31">
        <f>IF(AND(COUNT(W2,W9)=2, W2&lt;&gt;0), W9/W2, " ")</f>
      </c>
      <c r="X31">
        <f>IF(AND(COUNT(X2,X9)=2, X2&lt;&gt;0), X9/X2, " ")</f>
      </c>
      <c r="Y31">
        <f>IF(AND(COUNT(Y2,Y9)=2, Y2&lt;&gt;0), Y9/Y2, " ")</f>
      </c>
      <c r="Z31">
        <f>IF(AND(COUNT(Z2,Z9)=2, Z2&lt;&gt;0), Z9/Z2, " ")</f>
      </c>
    </row>
    <row r="32" spans="1:26" x14ac:dyDescent="0.25">
      <c r="A32" t="s">
        <v>29</v>
      </c>
      <c r="B32">
        <f>IF(AND(COUNT(B15,B15)=2, B15&lt;&gt;0), B16/B15, " ")</f>
      </c>
      <c r="C32">
        <f>IF(AND(COUNT(C15,C15)=2, C15&lt;&gt;0), C16/C15, " ")</f>
      </c>
      <c r="D32">
        <f>IF(AND(COUNT(D15,D15)=2, D15&lt;&gt;0), D16/D15, " ")</f>
      </c>
      <c r="E32">
        <f>IF(AND(COUNT(E15,E15)=2, E15&lt;&gt;0), E16/E15, " ")</f>
      </c>
      <c r="F32">
        <f>IF(AND(COUNT(F15,F15)=2, F15&lt;&gt;0), F16/F15, " ")</f>
      </c>
      <c r="G32">
        <f>IF(AND(COUNT(G15,G15)=2, G15&lt;&gt;0), G16/G15, " ")</f>
      </c>
      <c r="H32">
        <f>IF(AND(COUNT(H15,H15)=2, H15&lt;&gt;0), H16/H15, " ")</f>
      </c>
      <c r="I32">
        <f>IF(AND(COUNT(I15,I15)=2, I15&lt;&gt;0), I16/I15, " ")</f>
      </c>
      <c r="J32">
        <f>IF(AND(COUNT(J15,J15)=2, J15&lt;&gt;0), J16/J15, " ")</f>
      </c>
      <c r="K32">
        <f>IF(AND(COUNT(K15,K15)=2, K15&lt;&gt;0), K16/K15, " ")</f>
      </c>
      <c r="L32">
        <f>IF(AND(COUNT(L15,L15)=2, L15&lt;&gt;0), L16/L15, " ")</f>
      </c>
      <c r="M32">
        <f>IF(AND(COUNT(M15,M15)=2, M15&lt;&gt;0), M16/M15, " ")</f>
      </c>
      <c r="N32">
        <f>IF(AND(COUNT(N15,N15)=2, N15&lt;&gt;0), N16/N15, " ")</f>
      </c>
      <c r="O32">
        <f>IF(AND(COUNT(O15,O15)=2, O15&lt;&gt;0), O16/O15, " ")</f>
      </c>
      <c r="P32">
        <f>IF(AND(COUNT(P15,P15)=2, P15&lt;&gt;0), P16/P15, " ")</f>
      </c>
      <c r="Q32">
        <f>IF(AND(COUNT(Q15,Q15)=2, Q15&lt;&gt;0), Q16/Q15, " ")</f>
      </c>
      <c r="R32">
        <f>IF(AND(COUNT(R15,R15)=2, R15&lt;&gt;0), R16/R15, " ")</f>
      </c>
      <c r="S32">
        <f>IF(AND(COUNT(S15,S15)=2, S15&lt;&gt;0), S16/S15, " ")</f>
      </c>
      <c r="T32">
        <f>IF(AND(COUNT(T15,T15)=2, T15&lt;&gt;0), T16/T15, " ")</f>
      </c>
      <c r="U32">
        <f>IF(AND(COUNT(U15,U15)=2, U15&lt;&gt;0), U16/U15, " ")</f>
      </c>
      <c r="V32">
        <f>IF(AND(COUNT(V15,V15)=2, V15&lt;&gt;0), V16/V15, " ")</f>
      </c>
      <c r="W32">
        <f>IF(AND(COUNT(W15,W15)=2, W15&lt;&gt;0), W16/W15, " ")</f>
      </c>
      <c r="X32">
        <f>IF(AND(COUNT(X15,X15)=2, X15&lt;&gt;0), X16/X15, " ")</f>
      </c>
      <c r="Y32">
        <f>IF(AND(COUNT(Y15,Y15)=2, Y15&lt;&gt;0), Y16/Y15, " ")</f>
      </c>
      <c r="Z32">
        <f>IF(AND(COUNT(Z15,Z15)=2, Z15&lt;&gt;0), Z16/Z15, " ")</f>
      </c>
    </row>
    <row r="33" spans="1:26" x14ac:dyDescent="0.25">
      <c r="A33" t="s">
        <v>30</v>
      </c>
      <c r="B33">
        <f>IF(AND(COUNT(B20,B2)=2, B2&lt;&gt;0), B20/B2, " ")</f>
      </c>
      <c r="C33">
        <f>IF(AND(COUNT(C20,C2)=2, C2&lt;&gt;0), C20/C2, " ")</f>
      </c>
      <c r="D33">
        <f>IF(AND(COUNT(D20,D2)=2, D2&lt;&gt;0), D20/D2, " ")</f>
      </c>
      <c r="E33">
        <f>IF(AND(COUNT(E20,E2)=2, E2&lt;&gt;0), E20/E2, " ")</f>
      </c>
      <c r="F33">
        <f>IF(AND(COUNT(F20,F2)=2, F2&lt;&gt;0), F20/F2, " ")</f>
      </c>
      <c r="G33">
        <f>IF(AND(COUNT(G20,G2)=2, G2&lt;&gt;0), G20/G2, " ")</f>
      </c>
      <c r="H33">
        <f>IF(AND(COUNT(H20,H2)=2, H2&lt;&gt;0), H20/H2, " ")</f>
      </c>
      <c r="I33">
        <f>IF(AND(COUNT(I20,I2)=2, I2&lt;&gt;0), I20/I2, " ")</f>
      </c>
      <c r="J33">
        <f>IF(AND(COUNT(J20,J2)=2, J2&lt;&gt;0), J20/J2, " ")</f>
      </c>
      <c r="K33">
        <f>IF(AND(COUNT(K20,K2)=2, K2&lt;&gt;0), K20/K2, " ")</f>
      </c>
      <c r="L33">
        <f>IF(AND(COUNT(L20,L2)=2, L2&lt;&gt;0), L20/L2, " ")</f>
      </c>
      <c r="M33">
        <f>IF(AND(COUNT(M20,M2)=2, M2&lt;&gt;0), M20/M2, " ")</f>
      </c>
      <c r="N33">
        <f>IF(AND(COUNT(N20,N2)=2, N2&lt;&gt;0), N20/N2, " ")</f>
      </c>
      <c r="O33">
        <f>IF(AND(COUNT(O20,O2)=2, O2&lt;&gt;0), O20/O2, " ")</f>
      </c>
      <c r="P33">
        <f>IF(AND(COUNT(P20,P2)=2, P2&lt;&gt;0), P20/P2, " ")</f>
      </c>
      <c r="Q33">
        <f>IF(AND(COUNT(Q20,Q2)=2, Q2&lt;&gt;0), Q20/Q2, " ")</f>
      </c>
      <c r="R33">
        <f>IF(AND(COUNT(R20,R2)=2, R2&lt;&gt;0), R20/R2, " ")</f>
      </c>
      <c r="S33">
        <f>IF(AND(COUNT(S20,S2)=2, S2&lt;&gt;0), S20/S2, " ")</f>
      </c>
      <c r="T33">
        <f>IF(AND(COUNT(T20,T2)=2, T2&lt;&gt;0), T20/T2, " ")</f>
      </c>
      <c r="U33">
        <f>IF(AND(COUNT(U20,U2)=2, U2&lt;&gt;0), U20/U2, " ")</f>
      </c>
      <c r="V33">
        <f>IF(AND(COUNT(V20,V2)=2, V2&lt;&gt;0), V20/V2, " ")</f>
      </c>
      <c r="W33">
        <f>IF(AND(COUNT(W20,W2)=2, W2&lt;&gt;0), W20/W2, " ")</f>
      </c>
      <c r="X33">
        <f>IF(AND(COUNT(X20,X2)=2, X2&lt;&gt;0), X20/X2, " ")</f>
      </c>
      <c r="Y33">
        <f>IF(AND(COUNT(Y20,Y2)=2, Y2&lt;&gt;0), Y20/Y2, " ")</f>
      </c>
      <c r="Z33">
        <f>IF(AND(COUNT(Z20,Z2)=2, Z2&lt;&gt;0), Z20/Z2, " ")</f>
      </c>
    </row>
    <row r="34" spans="1:26" x14ac:dyDescent="0.25">
      <c r="A34" t="s">
        <v>31</v>
      </c>
      <c r="C34">
        <f>IF(AND(COUNT(B27,C27)=2, C27&lt;&gt;0, B2&lt;&gt;0), C27/B27-1, " ")</f>
      </c>
      <c r="D34">
        <f>IF(AND(COUNT(C27,D27)=2, D27&lt;&gt;0, C2&lt;&gt;0), D27/C27-1, " ")</f>
      </c>
      <c r="E34">
        <f>IF(AND(COUNT(D27,E27)=2, E27&lt;&gt;0, D2&lt;&gt;0), E27/D27-1, " ")</f>
      </c>
      <c r="F34">
        <f>IF(AND(COUNT(E27,F27)=2, F27&lt;&gt;0, E2&lt;&gt;0), F27/E27-1, " ")</f>
      </c>
      <c r="G34">
        <f>IF(AND(COUNT(F27,G27)=2, G27&lt;&gt;0, F2&lt;&gt;0), G27/F27-1, " ")</f>
      </c>
      <c r="H34">
        <f>IF(AND(COUNT(G27,H27)=2, H27&lt;&gt;0, G2&lt;&gt;0), H27/G27-1, " ")</f>
      </c>
      <c r="I34">
        <f>IF(AND(COUNT(H27,I27)=2, I27&lt;&gt;0, H2&lt;&gt;0), I27/H27-1, " ")</f>
      </c>
      <c r="J34">
        <f>IF(AND(COUNT(I27,J27)=2, J27&lt;&gt;0, I2&lt;&gt;0), J27/I27-1, " ")</f>
      </c>
      <c r="K34">
        <f>IF(AND(COUNT(J27,K27)=2, K27&lt;&gt;0, J2&lt;&gt;0), K27/J27-1, " ")</f>
      </c>
      <c r="L34">
        <f>IF(AND(COUNT(K27,L27)=2, L27&lt;&gt;0, K2&lt;&gt;0), L27/K27-1, " ")</f>
      </c>
      <c r="M34">
        <f>IF(AND(COUNT(L27,M27)=2, M27&lt;&gt;0, L2&lt;&gt;0), M27/L27-1, " ")</f>
      </c>
      <c r="N34">
        <f>IF(AND(COUNT(M27,N27)=2, N27&lt;&gt;0, M2&lt;&gt;0), N27/M27-1, " ")</f>
      </c>
      <c r="O34">
        <f>IF(AND(COUNT(N27,O27)=2, O27&lt;&gt;0, N2&lt;&gt;0), O27/N27-1, " ")</f>
      </c>
      <c r="P34">
        <f>IF(AND(COUNT(O27,P27)=2, P27&lt;&gt;0, O2&lt;&gt;0), P27/O27-1, " ")</f>
      </c>
      <c r="Q34">
        <f>IF(AND(COUNT(P27,Q27)=2, Q27&lt;&gt;0, P2&lt;&gt;0), Q27/P27-1, " ")</f>
      </c>
      <c r="R34">
        <f>IF(AND(COUNT(Q27,R27)=2, R27&lt;&gt;0, Q2&lt;&gt;0), R27/Q27-1, " ")</f>
      </c>
      <c r="S34">
        <f>IF(AND(COUNT(R27,S27)=2, S27&lt;&gt;0, R2&lt;&gt;0), S27/R27-1, " ")</f>
      </c>
      <c r="T34">
        <f>IF(AND(COUNT(S27,T27)=2, T27&lt;&gt;0, S2&lt;&gt;0), T27/S27-1, " ")</f>
      </c>
      <c r="U34">
        <f>IF(AND(COUNT(T27,U27)=2, U27&lt;&gt;0, T2&lt;&gt;0), U27/T27-1, " ")</f>
      </c>
      <c r="V34">
        <f>IF(AND(COUNT(U27,V27)=2, V27&lt;&gt;0, U2&lt;&gt;0), V27/U27-1, " ")</f>
      </c>
      <c r="W34">
        <f>IF(AND(COUNT(V27,W27)=2, W27&lt;&gt;0, V2&lt;&gt;0), W27/V27-1, " ")</f>
      </c>
      <c r="X34">
        <f>IF(AND(COUNT(W27,X27)=2, X27&lt;&gt;0, W2&lt;&gt;0), X27/W27-1, " ")</f>
      </c>
      <c r="Y34">
        <f>IF(AND(COUNT(X27,Y27)=2, Y27&lt;&gt;0, X2&lt;&gt;0), Y27/X27-1, " ")</f>
      </c>
      <c r="Z34">
        <f>IF(AND(COUNT(Y27,Z27)=2, Z27&lt;&gt;0, Y2&lt;&gt;0), Z27/Y27-1, " ")</f>
      </c>
    </row>
    <row r="36" spans="1:13" x14ac:dyDescent="0.25">
      <c r="A36" t="s">
        <v>32</v>
      </c>
      <c r="B36">
        <v>0</v>
      </c>
      <c r="C36">
        <v>0</v>
      </c>
      <c r="D36">
        <v>0</v>
      </c>
      <c r="E36">
        <v>0</v>
      </c>
      <c r="F36">
        <v>0</v>
      </c>
      <c r="G36">
        <v>80504</v>
      </c>
      <c r="H36">
        <v>78250</v>
      </c>
      <c r="I36">
        <v>383254</v>
      </c>
      <c r="J36">
        <v>499972</v>
      </c>
      <c r="K36">
        <v>440109</v>
      </c>
      <c r="L36">
        <v>358719</v>
      </c>
      <c r="M36">
        <v>762054</v>
      </c>
    </row>
    <row r="37" spans="1:13" x14ac:dyDescent="0.25">
      <c r="A37" t="s">
        <v>33</v>
      </c>
      <c r="B37">
        <v>1284</v>
      </c>
      <c r="C37">
        <v>365</v>
      </c>
      <c r="D37">
        <v>107</v>
      </c>
      <c r="E37">
        <v>2863</v>
      </c>
      <c r="F37">
        <v>774</v>
      </c>
      <c r="G37">
        <v>239869</v>
      </c>
      <c r="H37">
        <v>278854</v>
      </c>
      <c r="I37">
        <v>4754181</v>
      </c>
      <c r="J37">
        <v>4846988</v>
      </c>
      <c r="K37">
        <v>4374775</v>
      </c>
      <c r="L37">
        <v>4634610</v>
      </c>
      <c r="M37">
        <v>4254258</v>
      </c>
    </row>
    <row r="38" spans="1:13" x14ac:dyDescent="0.25">
      <c r="A38" t="s">
        <v>34</v>
      </c>
      <c r="B38">
        <v>71725</v>
      </c>
      <c r="C38">
        <v>105639</v>
      </c>
      <c r="D38">
        <v>144079</v>
      </c>
      <c r="E38">
        <v>180519</v>
      </c>
      <c r="F38">
        <v>-149374</v>
      </c>
      <c r="G38">
        <v>232396</v>
      </c>
      <c r="H38">
        <v>555838</v>
      </c>
      <c r="I38">
        <v>1456198</v>
      </c>
      <c r="J38">
        <v>3141401</v>
      </c>
      <c r="K38">
        <v>14509131</v>
      </c>
      <c r="L38">
        <v>11296801</v>
      </c>
      <c r="M38">
        <v>8752282</v>
      </c>
    </row>
    <row r="39" spans="1:13" x14ac:dyDescent="0.25">
      <c r="A39" t="s">
        <v>35</v>
      </c>
      <c r="B39">
        <f>B37-B38</f>
      </c>
      <c r="C39">
        <f>C37-C38</f>
      </c>
      <c r="D39">
        <f>D37-D38</f>
      </c>
      <c r="E39">
        <f>E37-E38</f>
      </c>
      <c r="F39">
        <f>F37-F38</f>
      </c>
      <c r="G39">
        <f>G37-G38</f>
      </c>
      <c r="H39">
        <f>H37-H38</f>
      </c>
      <c r="I39">
        <f>I37-I38</f>
      </c>
      <c r="J39">
        <f>J37-J38</f>
      </c>
      <c r="K39">
        <f>K37-K38</f>
      </c>
      <c r="L39">
        <f>L37-L38</f>
      </c>
      <c r="M39">
        <f>M37-M38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36</v>
      </c>
      <c r="B3">
        <f>MATCH("Free Cash Flow to Firm", Financials!A:A, 0)</f>
      </c>
      <c r="C3" t="s">
        <v>37</v>
      </c>
    </row>
    <row r="4" spans="1:2" x14ac:dyDescent="0.25">
      <c r="A4" t="s">
        <v>38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39</v>
      </c>
      <c r="B6" s="4"/>
      <c r="C6" t="s">
        <v>40</v>
      </c>
    </row>
    <row r="7" spans="1:3" x14ac:dyDescent="0.25">
      <c r="A7" s="3" t="s">
        <v>41</v>
      </c>
      <c r="B7" s="4"/>
      <c r="C7" t="s">
        <v>42</v>
      </c>
    </row>
    <row r="8" spans="1:4" x14ac:dyDescent="0.25">
      <c r="A8" s="3" t="s">
        <v>43</v>
      </c>
      <c r="C8" t="s">
        <v>44</v>
      </c>
      <c r="D8" t="s">
        <v>45</v>
      </c>
    </row>
    <row r="9" spans="1:4" x14ac:dyDescent="0.25">
      <c r="A9" s="3" t="s">
        <v>46</v>
      </c>
      <c r="B9" s="4"/>
      <c r="C9" t="s">
        <v>47</v>
      </c>
      <c r="D9" t="s">
        <v>48</v>
      </c>
    </row>
    <row r="10" spans="1:4" x14ac:dyDescent="0.25">
      <c r="A10" s="3" t="s">
        <v>49</v>
      </c>
      <c r="B10" s="4"/>
      <c r="C10" t="s">
        <v>50</v>
      </c>
      <c r="D10" t="s">
        <v>51</v>
      </c>
    </row>
    <row r="11" spans="1:2" x14ac:dyDescent="0.25">
      <c r="A11" s="3" t="s">
        <v>52</v>
      </c>
      <c r="B11" s="4">
        <f>B10+B9*B8</f>
      </c>
    </row>
    <row r="12" spans="1:3" x14ac:dyDescent="0.25">
      <c r="A12" s="3" t="s">
        <v>53</v>
      </c>
      <c r="B12" s="4"/>
      <c r="C12" t="s">
        <v>54</v>
      </c>
    </row>
    <row r="13" spans="1:4" x14ac:dyDescent="0.25">
      <c r="A13" s="3" t="s">
        <v>55</v>
      </c>
      <c r="B13" s="5"/>
      <c r="C13" t="s">
        <v>56</v>
      </c>
      <c r="D13" t="s">
        <v>45</v>
      </c>
    </row>
    <row r="14" spans="1:3" x14ac:dyDescent="0.25">
      <c r="A14" s="3" t="s">
        <v>57</v>
      </c>
      <c r="B14" s="5"/>
      <c r="C14" t="s">
        <v>58</v>
      </c>
    </row>
    <row r="15" spans="1:2" x14ac:dyDescent="0.25">
      <c r="A15" t="s">
        <v>59</v>
      </c>
      <c r="B15" s="4">
        <f>IF(B13+B14&lt;&gt;0,((B13/(B13+B14))*B11)+((B14/(B13+B14))*B12*B7), 0)</f>
      </c>
    </row>
    <row r="16" spans="1:2" x14ac:dyDescent="0.25">
      <c r="A16" t="s">
        <v>60</v>
      </c>
      <c r="B16" s="4">
        <f>IF(B4-NOW()&gt;=0, MIN(YEARFRAC(NOW(),B4),1), 0)</f>
      </c>
    </row>
    <row r="17" spans="1:2" x14ac:dyDescent="0.25">
      <c r="A17" t="s">
        <v>61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62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63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64</v>
      </c>
      <c r="B20" s="5"/>
      <c r="C20" t="s">
        <v>65</v>
      </c>
    </row>
    <row r="21" spans="1:4" x14ac:dyDescent="0.25">
      <c r="A21" s="3" t="s">
        <v>66</v>
      </c>
      <c r="B21" s="5"/>
      <c r="C21" t="s">
        <v>56</v>
      </c>
      <c r="D21" t="s">
        <v>45</v>
      </c>
    </row>
    <row r="22" spans="1:2" x14ac:dyDescent="0.25">
      <c r="A22" t="s">
        <v>67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2023-12-22T01:44:35Z</cp:lastPrinted>
  <dcterms:created xsi:type="dcterms:W3CDTF">2023-12-22T01:44:35Z</dcterms:created>
  <dcterms:modified xsi:type="dcterms:W3CDTF">2023-12-22T01:44:35Z</dcterms:modified>
</cp:coreProperties>
</file>