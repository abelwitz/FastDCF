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<sst xmlns="http://schemas.openxmlformats.org/spreadsheetml/2006/main" count="72" uniqueCount="68">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</sst>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3" x14ac:dyDescent="0.25">
      <c r="A1" s="1" t="s">
        <v>0</v>
      </c>
      <c r="B1" s="2">
        <v>2012</v>
      </c>
      <c r="C1" s="2">
        <v>2013</v>
      </c>
      <c r="D1" s="2">
        <v>2014</v>
      </c>
      <c r="E1" s="2">
        <v>2015</v>
      </c>
      <c r="F1" s="2">
        <v>2016</v>
      </c>
      <c r="G1" s="2">
        <v>2017</v>
      </c>
      <c r="H1" s="2">
        <v>2018</v>
      </c>
      <c r="I1" s="2">
        <v>2019</v>
      </c>
      <c r="J1" s="2">
        <v>2020</v>
      </c>
      <c r="K1" s="2">
        <v>2021</v>
      </c>
      <c r="L1" s="2">
        <v>2022</v>
      </c>
      <c r="M1" s="2">
        <v>2023</v>
      </c>
      <c r="N1" s="2">
        <v>2024</v>
      </c>
      <c r="O1" s="2">
        <v>2025</v>
      </c>
      <c r="P1" s="2">
        <v>2026</v>
      </c>
      <c r="Q1" s="2">
        <v>2027</v>
      </c>
      <c r="R1" s="2">
        <v>2028</v>
      </c>
      <c r="S1" s="2">
        <v>2029</v>
      </c>
      <c r="T1" s="2">
        <v>2030</v>
      </c>
      <c r="U1" s="2">
        <v>2031</v>
      </c>
      <c r="V1" s="2">
        <v>2032</v>
      </c>
      <c r="W1" s="2">
        <v>2033</v>
      </c>
    </row>
    <row r="2" spans="1:23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>
        <f>X2-X3</f>
      </c>
      <c r="Y4">
        <f>Y2-Y3</f>
      </c>
      <c r="Z4">
        <f>Z2-Z3</f>
      </c>
    </row>
    <row r="5" spans="1:23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x14ac:dyDescent="0.25">
      <c r="A6" s="2" t="s">
        <v>5</v>
      </c>
      <c r="B6" s="3">
        <v>2470345</v>
      </c>
      <c r="C6" s="3">
        <v>3087035</v>
      </c>
      <c r="D6" s="3">
        <v>3876698</v>
      </c>
      <c r="E6" s="3">
        <v>3938291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x14ac:dyDescent="0.25">
      <c r="A7" s="2" t="s">
        <v>6</v>
      </c>
      <c r="B7" s="3">
        <v>8386233</v>
      </c>
      <c r="C7" s="3">
        <v>11929646</v>
      </c>
      <c r="D7" s="3">
        <v>19992737</v>
      </c>
      <c r="E7" s="3">
        <v>81213841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165</v>
      </c>
      <c r="C10" s="3">
        <v>1434</v>
      </c>
      <c r="D10" s="3">
        <v>-551483</v>
      </c>
      <c r="E10" s="3">
        <v>-3276139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3" x14ac:dyDescent="0.25">
      <c r="A11" s="2" t="s">
        <v>10</v>
      </c>
      <c r="B11" s="3">
        <v>370198</v>
      </c>
      <c r="C11" s="3">
        <v>747659</v>
      </c>
      <c r="D11" s="3">
        <v>0</v>
      </c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5">
      <c r="A12" s="2" t="s">
        <v>11</v>
      </c>
      <c r="B12" s="3">
        <v>12066432</v>
      </c>
      <c r="C12" s="3">
        <v>14516995</v>
      </c>
      <c r="D12" s="3">
        <v>20172792</v>
      </c>
      <c r="E12" s="3">
        <v>8606606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>
        <f>X10-X11+X12</f>
      </c>
      <c r="Y13">
        <f>Y10-Y11+Y12</f>
      </c>
      <c r="Z13">
        <f>Z10-Z11+Z12</f>
      </c>
    </row>
    <row r="14" spans="1:23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>
        <f>X9+X13-X14</f>
      </c>
      <c r="Y15">
        <f>Y9+Y13-Y14</f>
      </c>
      <c r="Z15">
        <f>Z9+Z13-Z14</f>
      </c>
    </row>
    <row r="16" spans="1:23" x14ac:dyDescent="0.25">
      <c r="A16" s="2" t="s">
        <v>15</v>
      </c>
      <c r="B16" s="3">
        <v>15338625</v>
      </c>
      <c r="C16" s="3">
        <v>629249</v>
      </c>
      <c r="D16" s="3">
        <v>-1487206</v>
      </c>
      <c r="E16" s="3">
        <v>-14056899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3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>
        <f>X15-X16+X17-X18+X19</f>
      </c>
      <c r="Y20">
        <f>Y15-Y16+Y17-Y18+Y19</f>
      </c>
      <c r="Z20">
        <f>Z15-Z16+Z17-Z18+Z19</f>
      </c>
    </row>
    <row r="21" spans="1:23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3" x14ac:dyDescent="0.25">
      <c r="A22" s="2" t="s">
        <v>20</v>
      </c>
      <c r="B22" s="3">
        <v>4583680</v>
      </c>
      <c r="C22" s="3">
        <v>6436367</v>
      </c>
      <c r="D22" s="3">
        <v>10140152</v>
      </c>
      <c r="E22" s="3">
        <v>22510290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1:23" x14ac:dyDescent="0.25">
      <c r="A23" s="2" t="s">
        <v>21</v>
      </c>
      <c r="B23" s="3">
        <v>899100</v>
      </c>
      <c r="C23" s="3">
        <v>1198800</v>
      </c>
      <c r="D23" s="3">
        <v>1473800</v>
      </c>
      <c r="E23" s="3">
        <v>1124700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x14ac:dyDescent="0.25">
      <c r="A24" s="2" t="s">
        <v>22</v>
      </c>
      <c r="B24" s="3">
        <v>15024211</v>
      </c>
      <c r="C24" s="3">
        <v>5401736</v>
      </c>
      <c r="D24" s="3">
        <v>-2292811</v>
      </c>
      <c r="E24" s="3">
        <v>42129776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>
        <f>X20+X22+X23+X24</f>
      </c>
      <c r="Y25">
        <f>Y20+Y22+Y23+Y24</f>
      </c>
      <c r="Z25">
        <f>Z20+Z22+Z23+Z24</f>
      </c>
    </row>
    <row r="26" spans="1:23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>
        <f>X25-X26</f>
      </c>
      <c r="Y27">
        <f>Y25-Y26</f>
      </c>
      <c r="Z27">
        <f>Z25-Z26</f>
      </c>
    </row>
    <row r="28" spans="1:23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3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spans="1:23" x14ac:dyDescent="0.25">
      <c r="A36" s="2" t="s">
        <v>32</v>
      </c>
      <c r="B36" s="3">
        <v>64738394</v>
      </c>
      <c r="C36" s="3">
        <v>74334299</v>
      </c>
      <c r="D36" s="3">
        <v>91869875</v>
      </c>
      <c r="E36" s="3">
        <v>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 spans="1:23" x14ac:dyDescent="0.25">
      <c r="A37" s="2" t="s">
        <v>33</v>
      </c>
      <c r="B37" s="3">
        <v>69015992</v>
      </c>
      <c r="C37" s="3">
        <v>84231186</v>
      </c>
      <c r="D37" s="3">
        <v>101803226</v>
      </c>
      <c r="E37" s="3">
        <v>23180691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25">
      <c r="A38" s="2" t="s">
        <v>34</v>
      </c>
      <c r="B38" s="3">
        <v>25582886</v>
      </c>
      <c r="C38" s="3">
        <v>41145093</v>
      </c>
      <c r="D38" s="3">
        <v>60004253</v>
      </c>
      <c r="E38" s="3">
        <v>46021784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2023-12-22T01:46:28Z</cp:lastPrinted>
  <dcterms:created xsi:type="dcterms:W3CDTF">2023-12-22T01:46:28Z</dcterms:created>
  <dcterms:modified xsi:type="dcterms:W3CDTF">2023-12-22T01:46:28Z</dcterms:modified>
</cp:coreProperties>
</file>