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<sst xmlns="http://schemas.openxmlformats.org/spreadsheetml/2006/main" count="72" uniqueCount="69">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</sst>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1978192</v>
      </c>
      <c r="C2" s="3">
        <v>524100</v>
      </c>
      <c r="D2" s="3">
        <v>600400</v>
      </c>
      <c r="E2" s="3">
        <v>627500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1596214</v>
      </c>
      <c r="C3" s="3">
        <v>1634039</v>
      </c>
      <c r="D3" s="3">
        <v>1880271</v>
      </c>
      <c r="E3" s="3">
        <v>2004044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50250</v>
      </c>
      <c r="C6" s="3">
        <v>52273</v>
      </c>
      <c r="D6" s="3">
        <v>60587</v>
      </c>
      <c r="E6" s="3">
        <v>79748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26085</v>
      </c>
      <c r="C7" s="3">
        <v>-1222412</v>
      </c>
      <c r="D7" s="3">
        <v>-1386358</v>
      </c>
      <c r="E7" s="3">
        <v>-1495092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367</v>
      </c>
      <c r="C10" s="3">
        <v>306</v>
      </c>
      <c r="D10" s="3">
        <v>269</v>
      </c>
      <c r="E10" s="3">
        <v>160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82695</v>
      </c>
      <c r="C11" s="3">
        <v>64825</v>
      </c>
      <c r="D11" s="3">
        <v>63817</v>
      </c>
      <c r="E11" s="3">
        <v>61740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-41463</v>
      </c>
      <c r="C12" s="3">
        <v>75891</v>
      </c>
      <c r="D12" s="3">
        <v>84079</v>
      </c>
      <c r="E12" s="3">
        <v>70264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 s="3">
        <f>Z10-Z11+Z12</f>
      </c>
    </row>
    <row r="14" spans="1:26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 s="3">
        <f>Z9+Z13-Z14</f>
      </c>
    </row>
    <row r="16" spans="1:26" x14ac:dyDescent="0.25">
      <c r="A16" s="2" t="s">
        <v>15</v>
      </c>
      <c r="B16" s="3">
        <v>28010</v>
      </c>
      <c r="C16" s="3">
        <v>45372</v>
      </c>
      <c r="D16" s="3">
        <v>50131</v>
      </c>
      <c r="E16" s="3">
        <v>33984</v>
      </c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 spans="1:26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 s="3">
        <f>Z15-Z16+Z17-Z18+Z19</f>
      </c>
    </row>
    <row r="21" spans="1:26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20</v>
      </c>
      <c r="B22" s="3">
        <v>131500</v>
      </c>
      <c r="C22" s="3">
        <v>129926</v>
      </c>
      <c r="D22" s="3">
        <v>143758</v>
      </c>
      <c r="E22" s="3">
        <v>152306</v>
      </c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 spans="1:26" x14ac:dyDescent="0.25">
      <c r="A23" s="2" t="s">
        <v>21</v>
      </c>
      <c r="B23" s="3">
        <v>3518</v>
      </c>
      <c r="C23" s="3">
        <v>3733</v>
      </c>
      <c r="D23" s="3">
        <v>3695</v>
      </c>
      <c r="E23" s="3">
        <v>5983</v>
      </c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169852</v>
      </c>
      <c r="C24" s="3">
        <v>129922</v>
      </c>
      <c r="D24" s="3">
        <v>86438</v>
      </c>
      <c r="E24" s="3">
        <v>63241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 s="3">
        <f>Z20+Z22+Z23+Z24</f>
      </c>
    </row>
    <row r="26" spans="1:26" x14ac:dyDescent="0.25">
      <c r="A26" s="2" t="s">
        <v>24</v>
      </c>
      <c r="B26" s="3">
        <v>77145</v>
      </c>
      <c r="C26" s="3">
        <v>111619</v>
      </c>
      <c r="D26" s="3">
        <v>128762</v>
      </c>
      <c r="E26" s="3">
        <v>137642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 s="3">
        <f>Z25-Z26</f>
      </c>
    </row>
    <row r="28" spans="1:26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 s="4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 s="4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 s="4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 s="4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 s="4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 s="4">
        <f>IF(AND(COUNT(Y27,Z27)=2, Z27&lt;&gt;0, Y2&lt;&gt;0), Z27/Y27-1, " ")</f>
      </c>
    </row>
    <row r="35" spans="1:26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x14ac:dyDescent="0.25">
      <c r="A36" s="2" t="s">
        <v>32</v>
      </c>
      <c r="B36" s="3">
        <v>0</v>
      </c>
      <c r="C36" s="3">
        <v>1199035</v>
      </c>
      <c r="D36" s="3">
        <v>1235269</v>
      </c>
      <c r="E36" s="3">
        <v>1223001</v>
      </c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 spans="1:26" x14ac:dyDescent="0.25">
      <c r="A37" s="2" t="s">
        <v>33</v>
      </c>
      <c r="B37" s="3">
        <v>1895800</v>
      </c>
      <c r="C37" s="3">
        <v>1938990</v>
      </c>
      <c r="D37" s="3">
        <v>2286070</v>
      </c>
      <c r="E37" s="3">
        <v>2208412</v>
      </c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1274865</v>
      </c>
      <c r="C38" s="3">
        <v>1292155</v>
      </c>
      <c r="D38" s="3">
        <v>1491223</v>
      </c>
      <c r="E38" s="3">
        <v>1460226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f>B37-B38</f>
      </c>
      <c r="C39" s="3">
        <f>C37-C38</f>
      </c>
      <c r="D39" s="3">
        <f>D37-D38</f>
      </c>
      <c r="E39" s="3">
        <f>E37-E38</f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2023-12-22T01:45:30Z</cp:lastPrinted>
  <dcterms:created xsi:type="dcterms:W3CDTF">2023-12-22T01:45:30Z</dcterms:created>
  <dcterms:modified xsi:type="dcterms:W3CDTF">2023-12-22T01:45:30Z</dcterms:modified>
</cp:coreProperties>
</file>