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<sst xmlns="http://schemas.openxmlformats.org/spreadsheetml/2006/main" count="72" uniqueCount="69">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</sst>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5" x14ac:dyDescent="0.25">
      <c r="A1" s="1" t="s">
        <v>0</v>
      </c>
      <c r="B1" s="2">
        <v>2010</v>
      </c>
      <c r="C1" s="2">
        <v>2011</v>
      </c>
      <c r="D1" s="2">
        <v>2012</v>
      </c>
      <c r="E1" s="2">
        <v>2013</v>
      </c>
      <c r="F1" s="2">
        <v>2014</v>
      </c>
      <c r="G1" s="2">
        <v>2015</v>
      </c>
      <c r="H1" s="2">
        <v>2016</v>
      </c>
      <c r="I1" s="2">
        <v>2017</v>
      </c>
      <c r="J1" s="2">
        <v>2018</v>
      </c>
      <c r="K1" s="2">
        <v>2019</v>
      </c>
      <c r="L1" s="2">
        <v>2020</v>
      </c>
      <c r="M1" s="2">
        <v>2021</v>
      </c>
      <c r="N1" s="2">
        <v>2022</v>
      </c>
      <c r="O1" s="2">
        <v>2023</v>
      </c>
      <c r="P1" s="2">
        <v>2024</v>
      </c>
      <c r="Q1" s="2">
        <v>2025</v>
      </c>
      <c r="R1" s="2">
        <v>2026</v>
      </c>
      <c r="S1" s="2">
        <v>2027</v>
      </c>
      <c r="T1" s="2">
        <v>2028</v>
      </c>
      <c r="U1" s="2">
        <v>2029</v>
      </c>
      <c r="V1" s="2">
        <v>2030</v>
      </c>
      <c r="W1" s="2">
        <v>2031</v>
      </c>
      <c r="X1" s="2">
        <v>2032</v>
      </c>
      <c r="Y1" s="2">
        <v>2033</v>
      </c>
    </row>
    <row r="2" spans="1:25" x14ac:dyDescent="0.25">
      <c r="A2" s="2" t="s">
        <v>1</v>
      </c>
      <c r="B2" s="3">
        <v>260935</v>
      </c>
      <c r="C2" s="3">
        <v>282011</v>
      </c>
      <c r="D2" s="3">
        <v>296623</v>
      </c>
      <c r="E2" s="3">
        <v>364455</v>
      </c>
      <c r="F2" s="3">
        <v>395828</v>
      </c>
      <c r="G2" s="3">
        <v>382090</v>
      </c>
      <c r="H2" s="3">
        <v>371741</v>
      </c>
      <c r="I2" s="3">
        <v>378533</v>
      </c>
      <c r="J2" s="3">
        <v>561299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</row>
    <row r="3" spans="1:25" x14ac:dyDescent="0.25">
      <c r="A3" s="2" t="s">
        <v>2</v>
      </c>
      <c r="B3" s="3">
        <v>179056</v>
      </c>
      <c r="C3" s="3">
        <v>191002</v>
      </c>
      <c r="D3" s="3">
        <v>206833</v>
      </c>
      <c r="E3" s="3">
        <v>256607</v>
      </c>
      <c r="F3" s="3">
        <v>284074</v>
      </c>
      <c r="G3" s="3">
        <v>293574</v>
      </c>
      <c r="H3" s="3">
        <v>272377</v>
      </c>
      <c r="I3" s="3">
        <v>281117</v>
      </c>
      <c r="J3" s="3">
        <v>384377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>
        <f>Z2-Z3</f>
      </c>
    </row>
    <row r="5" spans="1:25" x14ac:dyDescent="0.25">
      <c r="A5" s="2" t="s">
        <v>4</v>
      </c>
      <c r="B5" s="3">
        <v>0</v>
      </c>
      <c r="C5" s="3">
        <v>0</v>
      </c>
      <c r="D5" s="3">
        <v>0</v>
      </c>
      <c r="E5" s="3">
        <v>0</v>
      </c>
      <c r="F5" s="3">
        <v>0</v>
      </c>
      <c r="G5" s="3">
        <v>0</v>
      </c>
      <c r="H5" s="3">
        <v>0</v>
      </c>
      <c r="I5" s="3">
        <v>0</v>
      </c>
      <c r="J5" s="3">
        <v>0</v>
      </c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</row>
    <row r="6" spans="1:25" x14ac:dyDescent="0.25">
      <c r="A6" s="2" t="s">
        <v>5</v>
      </c>
      <c r="B6" s="3">
        <v>75278</v>
      </c>
      <c r="C6" s="3">
        <v>83067</v>
      </c>
      <c r="D6" s="3">
        <v>101811</v>
      </c>
      <c r="E6" s="3">
        <v>31182</v>
      </c>
      <c r="F6" s="3">
        <v>34964</v>
      </c>
      <c r="G6" s="3">
        <v>115716</v>
      </c>
      <c r="H6" s="3">
        <v>118133</v>
      </c>
      <c r="I6" s="3">
        <v>114703</v>
      </c>
      <c r="J6" s="3">
        <v>137597</v>
      </c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</row>
    <row r="7" spans="1:25" x14ac:dyDescent="0.25">
      <c r="A7" s="2" t="s">
        <v>6</v>
      </c>
      <c r="B7" s="3">
        <v>87</v>
      </c>
      <c r="C7" s="3">
        <v>368</v>
      </c>
      <c r="D7" s="3">
        <v>-10363</v>
      </c>
      <c r="E7" s="3">
        <v>73917</v>
      </c>
      <c r="F7" s="3">
        <v>80421</v>
      </c>
      <c r="G7" s="3">
        <v>9484</v>
      </c>
      <c r="H7" s="3">
        <v>0</v>
      </c>
      <c r="I7" s="3">
        <v>4286</v>
      </c>
      <c r="J7" s="3">
        <v>27912</v>
      </c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v>0</v>
      </c>
      <c r="E10" s="3">
        <v>0</v>
      </c>
      <c r="F10" s="3">
        <v>0</v>
      </c>
      <c r="G10" s="3">
        <v>0</v>
      </c>
      <c r="H10" s="3">
        <v>0</v>
      </c>
      <c r="I10" s="3">
        <v>0</v>
      </c>
      <c r="J10" s="3">
        <v>0</v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5" x14ac:dyDescent="0.25">
      <c r="A11" s="2" t="s">
        <v>10</v>
      </c>
      <c r="B11" s="3">
        <v>0</v>
      </c>
      <c r="C11" s="3">
        <v>0</v>
      </c>
      <c r="D11" s="3">
        <v>0</v>
      </c>
      <c r="E11" s="3">
        <v>0</v>
      </c>
      <c r="F11" s="3">
        <v>0</v>
      </c>
      <c r="G11" s="3">
        <v>0</v>
      </c>
      <c r="H11" s="3">
        <v>0</v>
      </c>
      <c r="I11" s="3">
        <v>0</v>
      </c>
      <c r="J11" s="3">
        <v>0</v>
      </c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</row>
    <row r="12" spans="1:25" x14ac:dyDescent="0.25">
      <c r="A12" s="2" t="s">
        <v>11</v>
      </c>
      <c r="B12" s="3">
        <v>151</v>
      </c>
      <c r="C12" s="3">
        <v>114</v>
      </c>
      <c r="D12" s="3">
        <v>38</v>
      </c>
      <c r="E12" s="3">
        <v>3</v>
      </c>
      <c r="F12" s="3">
        <v>0</v>
      </c>
      <c r="G12" s="3">
        <v>2374</v>
      </c>
      <c r="H12" s="3">
        <v>-152</v>
      </c>
      <c r="I12" s="3">
        <v>7</v>
      </c>
      <c r="J12" s="3">
        <v>56</v>
      </c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 s="3">
        <f>W10-W11+W12</f>
      </c>
      <c r="X13" s="3">
        <f>X10-X11+X12</f>
      </c>
      <c r="Y13" s="3">
        <f>Y10-Y11+Y12</f>
      </c>
      <c r="Z13">
        <f>Z10-Z11+Z12</f>
      </c>
    </row>
    <row r="14" spans="1:25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 s="3">
        <f>W9+W13-W14</f>
      </c>
      <c r="X15" s="3">
        <f>X9+X13-X14</f>
      </c>
      <c r="Y15" s="3">
        <f>Y9+Y13-Y14</f>
      </c>
      <c r="Z15">
        <f>Z9+Z13-Z14</f>
      </c>
    </row>
    <row r="16" spans="1:25" x14ac:dyDescent="0.25">
      <c r="A16" s="2" t="s">
        <v>15</v>
      </c>
      <c r="B16" s="3">
        <v>2531</v>
      </c>
      <c r="C16" s="3">
        <v>2135</v>
      </c>
      <c r="D16" s="3">
        <v>-811</v>
      </c>
      <c r="E16" s="3">
        <v>1161</v>
      </c>
      <c r="F16" s="3">
        <v>-6126</v>
      </c>
      <c r="G16" s="3">
        <v>-14852</v>
      </c>
      <c r="H16" s="3">
        <v>-8332</v>
      </c>
      <c r="I16" s="3">
        <v>-8625</v>
      </c>
      <c r="J16" s="3">
        <v>-4842</v>
      </c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</row>
    <row r="17" spans="1:25" x14ac:dyDescent="0.25">
      <c r="A17" s="2" t="s">
        <v>16</v>
      </c>
      <c r="B17" s="3">
        <v>-12</v>
      </c>
      <c r="C17" s="3">
        <v>-5</v>
      </c>
      <c r="D17" s="3">
        <v>0</v>
      </c>
      <c r="E17" s="3">
        <v>0</v>
      </c>
      <c r="F17" s="3">
        <v>0</v>
      </c>
      <c r="G17" s="3">
        <v>-2377</v>
      </c>
      <c r="H17" s="3">
        <v>-29849</v>
      </c>
      <c r="I17" s="3">
        <v>27</v>
      </c>
      <c r="J17" s="3">
        <v>30</v>
      </c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</row>
    <row r="18" spans="1:25" x14ac:dyDescent="0.25">
      <c r="A18" s="2" t="s">
        <v>17</v>
      </c>
      <c r="B18" s="3">
        <v>0</v>
      </c>
      <c r="C18" s="3">
        <v>0</v>
      </c>
      <c r="D18" s="3">
        <v>-702</v>
      </c>
      <c r="E18" s="3">
        <v>-727</v>
      </c>
      <c r="F18" s="3">
        <v>-83</v>
      </c>
      <c r="G18" s="3">
        <v>0</v>
      </c>
      <c r="H18" s="3">
        <v>0</v>
      </c>
      <c r="I18" s="3">
        <v>0</v>
      </c>
      <c r="J18" s="3">
        <v>0</v>
      </c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</row>
    <row r="19" spans="1:25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>
        <v>0</v>
      </c>
      <c r="J19" s="3">
        <v>0</v>
      </c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 s="3">
        <f>W15-W16+W17-W18+W19</f>
      </c>
      <c r="X20" s="3">
        <f>X15-X16+X17-X18+X19</f>
      </c>
      <c r="Y20" s="3">
        <f>Y15-Y16+Y17-Y18+Y19</f>
      </c>
      <c r="Z20">
        <f>Z15-Z16+Z17-Z18+Z19</f>
      </c>
    </row>
    <row r="21" spans="1:25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</row>
    <row r="22" spans="1:25" x14ac:dyDescent="0.25">
      <c r="A22" s="2" t="s">
        <v>20</v>
      </c>
      <c r="B22" s="3">
        <v>29977</v>
      </c>
      <c r="C22" s="3">
        <v>26959</v>
      </c>
      <c r="D22" s="3">
        <v>27027</v>
      </c>
      <c r="E22" s="3">
        <v>31182</v>
      </c>
      <c r="F22" s="3">
        <v>34964</v>
      </c>
      <c r="G22" s="3">
        <v>38473</v>
      </c>
      <c r="H22" s="3">
        <v>43946</v>
      </c>
      <c r="I22" s="3">
        <v>49376</v>
      </c>
      <c r="J22" s="3">
        <v>52870</v>
      </c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</row>
    <row r="23" spans="1:25" x14ac:dyDescent="0.25">
      <c r="A23" s="2" t="s">
        <v>21</v>
      </c>
      <c r="B23" s="3">
        <v>3508</v>
      </c>
      <c r="C23" s="3">
        <v>4209</v>
      </c>
      <c r="D23" s="3">
        <v>5187</v>
      </c>
      <c r="E23" s="3">
        <v>6612</v>
      </c>
      <c r="F23" s="3">
        <v>7068</v>
      </c>
      <c r="G23" s="3">
        <v>8193</v>
      </c>
      <c r="H23" s="3">
        <v>10932</v>
      </c>
      <c r="I23" s="3">
        <v>11000</v>
      </c>
      <c r="J23" s="3">
        <v>7000</v>
      </c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</row>
    <row r="24" spans="1:25" x14ac:dyDescent="0.25">
      <c r="A24" s="2" t="s">
        <v>22</v>
      </c>
      <c r="B24" s="3">
        <v>119851</v>
      </c>
      <c r="C24" s="3">
        <v>71858</v>
      </c>
      <c r="D24" s="3">
        <v>62633</v>
      </c>
      <c r="E24" s="3">
        <v>41381</v>
      </c>
      <c r="F24" s="3">
        <v>74374</v>
      </c>
      <c r="G24" s="3">
        <v>76971</v>
      </c>
      <c r="H24" s="3">
        <v>84948</v>
      </c>
      <c r="I24" s="3">
        <v>117077</v>
      </c>
      <c r="J24" s="3">
        <v>1528</v>
      </c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 s="3">
        <f>W20+W22+W23+W24</f>
      </c>
      <c r="X25" s="3">
        <f>X20+X22+X23+X24</f>
      </c>
      <c r="Y25" s="3">
        <f>Y20+Y22+Y23+Y24</f>
      </c>
      <c r="Z25">
        <f>Z20+Z22+Z23+Z24</f>
      </c>
    </row>
    <row r="26" spans="1:25" x14ac:dyDescent="0.25">
      <c r="A26" s="2" t="s">
        <v>24</v>
      </c>
      <c r="B26" s="3">
        <v>8454</v>
      </c>
      <c r="C26" s="3">
        <v>19088</v>
      </c>
      <c r="D26" s="3">
        <v>29131</v>
      </c>
      <c r="E26" s="3">
        <v>81586</v>
      </c>
      <c r="F26" s="3">
        <v>81668</v>
      </c>
      <c r="G26" s="3">
        <v>88087</v>
      </c>
      <c r="H26" s="3">
        <v>66125</v>
      </c>
      <c r="I26" s="3">
        <v>74784</v>
      </c>
      <c r="J26" s="3">
        <v>38163</v>
      </c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 s="3">
        <f>W25-W26</f>
      </c>
      <c r="X27" s="3">
        <f>X25-X26</f>
      </c>
      <c r="Y27" s="3">
        <f>Y25-Y26</f>
      </c>
      <c r="Z27">
        <f>Z25-Z26</f>
      </c>
    </row>
    <row r="28" spans="1:25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 s="4">
        <f>IF(AND(COUNT(V2,W2)=2, W2&lt;&gt;0, V2&lt;&gt;0), W2/V2-1, " ")</f>
      </c>
      <c r="X29" s="4">
        <f>IF(AND(COUNT(W2,X2)=2, X2&lt;&gt;0, W2&lt;&gt;0), X2/W2-1, " ")</f>
      </c>
      <c r="Y29" s="4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 s="4">
        <f>IF(AND(COUNT(W2,W4)=2, W2&lt;&gt;0), W4/W2, " ")</f>
      </c>
      <c r="X30" s="4">
        <f>IF(AND(COUNT(X2,X4)=2, X2&lt;&gt;0), X4/X2, " ")</f>
      </c>
      <c r="Y30" s="4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 s="4">
        <f>IF(AND(COUNT(W2,W9)=2, W2&lt;&gt;0), W9/W2, " ")</f>
      </c>
      <c r="X31" s="4">
        <f>IF(AND(COUNT(X2,X9)=2, X2&lt;&gt;0), X9/X2, " ")</f>
      </c>
      <c r="Y31" s="4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 s="4">
        <f>IF(AND(COUNT(W15,W15)=2, W15&lt;&gt;0), W16/W15, " ")</f>
      </c>
      <c r="X32" s="4">
        <f>IF(AND(COUNT(X15,X15)=2, X15&lt;&gt;0), X16/X15, " ")</f>
      </c>
      <c r="Y32" s="4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 s="4">
        <f>IF(AND(COUNT(W20,W2)=2, W2&lt;&gt;0), W20/W2, " ")</f>
      </c>
      <c r="X33" s="4">
        <f>IF(AND(COUNT(X20,X2)=2, X2&lt;&gt;0), X20/X2, " ")</f>
      </c>
      <c r="Y33" s="4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 s="4">
        <f>IF(AND(COUNT(V27,W27)=2, W27&lt;&gt;0, V2&lt;&gt;0), W27/V27-1, " ")</f>
      </c>
      <c r="X34" s="4">
        <f>IF(AND(COUNT(W27,X27)=2, X27&lt;&gt;0, W2&lt;&gt;0), X27/W27-1, " ")</f>
      </c>
      <c r="Y34" s="4">
        <f>IF(AND(COUNT(X27,Y27)=2, Y27&lt;&gt;0, X2&lt;&gt;0), Y27/X27-1, " ")</f>
      </c>
      <c r="Z34">
        <f>IF(AND(COUNT(Y27,Z27)=2, Z27&lt;&gt;0, Y2&lt;&gt;0), Z27/Y27-1, " ")</f>
      </c>
    </row>
    <row r="35" spans="1:25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</row>
    <row r="36" spans="1:25" x14ac:dyDescent="0.25">
      <c r="A36" s="2" t="s">
        <v>32</v>
      </c>
      <c r="B36" s="3">
        <v>0</v>
      </c>
      <c r="C36" s="3">
        <v>126510</v>
      </c>
      <c r="D36" s="3">
        <v>126997</v>
      </c>
      <c r="E36" s="3">
        <v>180601</v>
      </c>
      <c r="F36" s="3">
        <v>223182</v>
      </c>
      <c r="G36" s="3">
        <v>274360</v>
      </c>
      <c r="H36" s="3">
        <v>243393</v>
      </c>
      <c r="I36" s="3">
        <v>247897</v>
      </c>
      <c r="J36" s="3">
        <v>138562</v>
      </c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</row>
    <row r="37" spans="1:25" x14ac:dyDescent="0.25">
      <c r="A37" s="2" t="s">
        <v>33</v>
      </c>
      <c r="B37" s="3">
        <v>0</v>
      </c>
      <c r="C37" s="3">
        <v>664845</v>
      </c>
      <c r="D37" s="3">
        <v>711496</v>
      </c>
      <c r="E37" s="3">
        <v>706422</v>
      </c>
      <c r="F37" s="3">
        <v>824945</v>
      </c>
      <c r="G37" s="3">
        <v>849855</v>
      </c>
      <c r="H37" s="3">
        <v>817548</v>
      </c>
      <c r="I37" s="3">
        <v>746468</v>
      </c>
      <c r="J37" s="3">
        <v>675032</v>
      </c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</row>
    <row r="38" spans="1:25" x14ac:dyDescent="0.25">
      <c r="A38" s="2" t="s">
        <v>34</v>
      </c>
      <c r="B38" s="3">
        <v>-442150</v>
      </c>
      <c r="C38" s="3">
        <v>174600</v>
      </c>
      <c r="D38" s="3">
        <v>181959</v>
      </c>
      <c r="E38" s="3">
        <v>181559</v>
      </c>
      <c r="F38" s="3">
        <v>242761</v>
      </c>
      <c r="G38" s="3">
        <v>260211</v>
      </c>
      <c r="H38" s="3">
        <v>289904</v>
      </c>
      <c r="I38" s="3">
        <v>294970</v>
      </c>
      <c r="J38" s="3">
        <v>224042</v>
      </c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</row>
    <row r="39" spans="1:25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>
        <f>F37-F38</f>
      </c>
      <c r="G39" s="3">
        <f>G37-G38</f>
      </c>
      <c r="H39" s="3">
        <f>H37-H38</f>
      </c>
      <c r="I39" s="3">
        <f>I37-I38</f>
      </c>
      <c r="J39" s="3">
        <f>J37-J38</f>
      </c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36</v>
      </c>
    </row>
    <row r="3" spans="1:3" x14ac:dyDescent="0.25">
      <c r="A3" t="s">
        <v>37</v>
      </c>
      <c r="B3">
        <f>MATCH("Free Cash Flow to Firm", Financials!A:A, 0)</f>
      </c>
      <c r="C3" t="s">
        <v>38</v>
      </c>
    </row>
    <row r="4" spans="1:2" x14ac:dyDescent="0.25">
      <c r="A4" t="s">
        <v>39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40</v>
      </c>
      <c r="B6" s="4"/>
      <c r="C6" t="s">
        <v>41</v>
      </c>
    </row>
    <row r="7" spans="1:3" x14ac:dyDescent="0.25">
      <c r="A7" s="2" t="s">
        <v>42</v>
      </c>
      <c r="B7" s="4"/>
      <c r="C7" t="s">
        <v>43</v>
      </c>
    </row>
    <row r="8" spans="1:4" x14ac:dyDescent="0.25">
      <c r="A8" s="2" t="s">
        <v>44</v>
      </c>
      <c r="C8" t="s">
        <v>45</v>
      </c>
      <c r="D8" t="s">
        <v>46</v>
      </c>
    </row>
    <row r="9" spans="1:4" x14ac:dyDescent="0.25">
      <c r="A9" s="2" t="s">
        <v>47</v>
      </c>
      <c r="B9" s="4"/>
      <c r="C9" t="s">
        <v>48</v>
      </c>
      <c r="D9" t="s">
        <v>49</v>
      </c>
    </row>
    <row r="10" spans="1:4" x14ac:dyDescent="0.25">
      <c r="A10" s="2" t="s">
        <v>50</v>
      </c>
      <c r="B10" s="4"/>
      <c r="C10" t="s">
        <v>51</v>
      </c>
      <c r="D10" t="s">
        <v>52</v>
      </c>
    </row>
    <row r="11" spans="1:2" x14ac:dyDescent="0.25">
      <c r="A11" s="2" t="s">
        <v>53</v>
      </c>
      <c r="B11" s="4">
        <f>B10+B9*B8</f>
      </c>
    </row>
    <row r="12" spans="1:3" x14ac:dyDescent="0.25">
      <c r="A12" s="2" t="s">
        <v>54</v>
      </c>
      <c r="B12" s="4"/>
      <c r="C12" t="s">
        <v>55</v>
      </c>
    </row>
    <row r="13" spans="1:4" x14ac:dyDescent="0.25">
      <c r="A13" s="2" t="s">
        <v>56</v>
      </c>
      <c r="B13" s="3"/>
      <c r="C13" t="s">
        <v>57</v>
      </c>
      <c r="D13" t="s">
        <v>46</v>
      </c>
    </row>
    <row r="14" spans="1:3" x14ac:dyDescent="0.25">
      <c r="A14" s="2" t="s">
        <v>58</v>
      </c>
      <c r="B14" s="3"/>
      <c r="C14" t="s">
        <v>59</v>
      </c>
    </row>
    <row r="15" spans="1:2" x14ac:dyDescent="0.25">
      <c r="A15" t="s">
        <v>60</v>
      </c>
      <c r="B15" s="4">
        <f>IF(B13+B14&lt;&gt;0,((B13/(B13+B14))*B11)+((B14/(B13+B14))*B12*B7), 0)</f>
      </c>
    </row>
    <row r="16" spans="1:2" x14ac:dyDescent="0.25">
      <c r="A16" t="s">
        <v>61</v>
      </c>
      <c r="B16" s="4">
        <f>IF(B4-NOW()&gt;=0, MIN(YEARFRAC(NOW(),B4),1), 0)</f>
      </c>
    </row>
    <row r="17" spans="1:2" x14ac:dyDescent="0.25">
      <c r="A17" t="s">
        <v>62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63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64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65</v>
      </c>
      <c r="B20" s="3"/>
      <c r="C20" t="s">
        <v>66</v>
      </c>
    </row>
    <row r="21" spans="1:4" x14ac:dyDescent="0.25">
      <c r="A21" s="2" t="s">
        <v>67</v>
      </c>
      <c r="B21" s="3"/>
      <c r="C21" t="s">
        <v>57</v>
      </c>
      <c r="D21" t="s">
        <v>46</v>
      </c>
    </row>
    <row r="22" spans="1:2" x14ac:dyDescent="0.25">
      <c r="A22" t="s">
        <v>68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2023-12-22T01:43:41Z</cp:lastPrinted>
  <dcterms:created xsi:type="dcterms:W3CDTF">2023-12-22T01:43:41Z</dcterms:created>
  <dcterms:modified xsi:type="dcterms:W3CDTF">2023-12-22T01:43:41Z</dcterms:modified>
</cp:coreProperties>
</file>