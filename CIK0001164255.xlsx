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<sst xmlns="http://schemas.openxmlformats.org/spreadsheetml/2006/main" count="74" uniqueCount="71">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</sst>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110445</v>
      </c>
      <c r="C2" s="3">
        <v>126742</v>
      </c>
      <c r="D2" s="3">
        <v>122847</v>
      </c>
      <c r="E2" s="3">
        <v>149367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65961</v>
      </c>
      <c r="C3" s="3">
        <v>86902</v>
      </c>
      <c r="D3" s="3">
        <v>94273</v>
      </c>
      <c r="E3" s="3">
        <v>114372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121175</v>
      </c>
      <c r="C5" s="3">
        <v>149900</v>
      </c>
      <c r="D5" s="3">
        <v>115951</v>
      </c>
      <c r="E5" s="3">
        <v>178092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24739</v>
      </c>
      <c r="C6" s="3">
        <v>25776</v>
      </c>
      <c r="D6" s="3">
        <v>48046</v>
      </c>
      <c r="E6" s="3">
        <v>25041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-90700</v>
      </c>
      <c r="C7" s="3">
        <v>-112678</v>
      </c>
      <c r="D7" s="3">
        <v>-142319</v>
      </c>
      <c r="E7" s="3">
        <v>-139413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18095</v>
      </c>
      <c r="C11" s="3">
        <v>23954</v>
      </c>
      <c r="D11" s="3">
        <v>24529</v>
      </c>
      <c r="E11" s="3">
        <v>24822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-18095</v>
      </c>
      <c r="C12" s="3">
        <v>-23954</v>
      </c>
      <c r="D12" s="3">
        <v>-24529</v>
      </c>
      <c r="E12" s="3">
        <v>-24822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x14ac:dyDescent="0.25">
      <c r="A13" s="2" t="s">
        <v>12</v>
      </c>
      <c r="B13" s="3">
        <v>15</v>
      </c>
      <c r="C13" s="3">
        <v>14</v>
      </c>
      <c r="D13" s="3">
        <v>8</v>
      </c>
      <c r="E13" s="3">
        <v>4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>
        <f>X12+X13</f>
      </c>
      <c r="Y14">
        <f>Y12+Y13</f>
      </c>
      <c r="Z14">
        <f>Z12+Z13</f>
      </c>
    </row>
    <row r="15" spans="1:23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>
        <f>X9+X14-X15</f>
      </c>
      <c r="Y16">
        <f>Y9+Y14-Y15</f>
      </c>
      <c r="Z16">
        <f>Z9+Z14-Z15</f>
      </c>
    </row>
    <row r="17" spans="1:23" x14ac:dyDescent="0.25">
      <c r="A17" s="2" t="s">
        <v>16</v>
      </c>
      <c r="B17" s="3">
        <v>521</v>
      </c>
      <c r="C17" s="3">
        <v>722</v>
      </c>
      <c r="D17" s="3">
        <v>1038</v>
      </c>
      <c r="E17" s="3">
        <v>-763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-39</v>
      </c>
      <c r="C19" s="3">
        <v>-30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3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7898</v>
      </c>
      <c r="C24" s="3">
        <v>10121</v>
      </c>
      <c r="D24" s="3">
        <v>9879</v>
      </c>
      <c r="E24" s="3">
        <v>13945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x14ac:dyDescent="0.25">
      <c r="A26" s="2" t="s">
        <v>24</v>
      </c>
      <c r="B26" s="3">
        <v>15134</v>
      </c>
      <c r="C26" s="3">
        <v>18314</v>
      </c>
      <c r="D26" s="3">
        <v>-36069</v>
      </c>
      <c r="E26" s="3">
        <v>10872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>
        <f>X22+X24+X25+X26</f>
      </c>
      <c r="Y27">
        <f>Y22+Y24+Y25+Y26</f>
      </c>
      <c r="Z27">
        <f>Z22+Z24+Z25+Z26</f>
      </c>
    </row>
    <row r="28" spans="1:23" x14ac:dyDescent="0.25">
      <c r="A28" s="2" t="s">
        <v>26</v>
      </c>
      <c r="B28" s="3">
        <v>8662</v>
      </c>
      <c r="C28" s="3">
        <v>18686</v>
      </c>
      <c r="D28" s="3">
        <v>-24127</v>
      </c>
      <c r="E28" s="3">
        <v>37156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>
        <f>X27-X28</f>
      </c>
      <c r="Y29">
        <f>Y27-Y28</f>
      </c>
      <c r="Z29">
        <f>Z27-Z28</f>
      </c>
    </row>
    <row r="30" spans="1:23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3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20506</v>
      </c>
      <c r="D38" s="3">
        <v>27718</v>
      </c>
      <c r="E38" s="3">
        <v>49636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v>0</v>
      </c>
      <c r="C39" s="3">
        <v>128328</v>
      </c>
      <c r="D39" s="3">
        <v>169295</v>
      </c>
      <c r="E39" s="3">
        <v>166455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x14ac:dyDescent="0.25">
      <c r="A40" s="2" t="s">
        <v>36</v>
      </c>
      <c r="B40" s="3">
        <v>0</v>
      </c>
      <c r="C40" s="3">
        <v>486825</v>
      </c>
      <c r="D40" s="3">
        <v>481484</v>
      </c>
      <c r="E40" s="3">
        <v>481624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2023-12-24T11:00:12Z</cp:lastPrinted>
  <dcterms:created xsi:type="dcterms:W3CDTF">2023-12-24T11:00:12Z</dcterms:created>
  <dcterms:modified xsi:type="dcterms:W3CDTF">2023-12-24T11:00:12Z</dcterms:modified>
</cp:coreProperties>
</file>