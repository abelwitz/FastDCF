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<sst xmlns="http://schemas.openxmlformats.org/spreadsheetml/2006/main" count="72" uniqueCount="68">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</sst>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6681224</v>
      </c>
      <c r="C2" s="3">
        <v>6715415</v>
      </c>
      <c r="D2" s="3">
        <v>4902891</v>
      </c>
      <c r="E2" s="3">
        <v>1003083</v>
      </c>
      <c r="F2" s="3">
        <v>1107470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2286072</v>
      </c>
      <c r="C3" s="3">
        <v>2646128</v>
      </c>
      <c r="D3" s="3">
        <v>3034659</v>
      </c>
      <c r="E3" s="3">
        <v>8204936</v>
      </c>
      <c r="F3" s="3">
        <v>4457919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2261299</v>
      </c>
      <c r="C6" s="3">
        <v>1891849</v>
      </c>
      <c r="D6" s="3">
        <v>6561910</v>
      </c>
      <c r="E6" s="3">
        <v>11551674</v>
      </c>
      <c r="F6" s="3">
        <v>2552871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1975957</v>
      </c>
      <c r="C7" s="3">
        <v>2106392</v>
      </c>
      <c r="D7" s="3">
        <v>-166270220</v>
      </c>
      <c r="E7" s="3">
        <v>-3016083</v>
      </c>
      <c r="F7" s="3">
        <v>-2933269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1397</v>
      </c>
      <c r="C10" s="3">
        <v>1696</v>
      </c>
      <c r="D10" s="3">
        <v>86217</v>
      </c>
      <c r="E10" s="3">
        <v>236954</v>
      </c>
      <c r="F10" s="3">
        <v>110311</v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1131758</v>
      </c>
      <c r="C11" s="3">
        <v>1197407</v>
      </c>
      <c r="D11" s="3">
        <v>965506</v>
      </c>
      <c r="E11" s="3">
        <v>5748</v>
      </c>
      <c r="F11" s="3">
        <v>749004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0</v>
      </c>
      <c r="C12" s="3">
        <v>0</v>
      </c>
      <c r="D12" s="3">
        <v>0</v>
      </c>
      <c r="E12" s="3">
        <v>0</v>
      </c>
      <c r="F12" s="3">
        <v>0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>
        <f>Z10-Z11+Z12</f>
      </c>
    </row>
    <row r="14" spans="1:2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>
        <f>Z9+Z13-Z14</f>
      </c>
    </row>
    <row r="16" spans="1:25" x14ac:dyDescent="0.25">
      <c r="A16" s="2" t="s">
        <v>15</v>
      </c>
      <c r="B16" s="3">
        <v>109000</v>
      </c>
      <c r="C16" s="3">
        <v>0</v>
      </c>
      <c r="D16" s="3">
        <v>61649000</v>
      </c>
      <c r="E16" s="3">
        <v>-61553442</v>
      </c>
      <c r="F16" s="3">
        <v>-565000</v>
      </c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0</v>
      </c>
      <c r="C18" s="3">
        <v>0</v>
      </c>
      <c r="D18" s="3">
        <v>0</v>
      </c>
      <c r="E18" s="3">
        <v>-8001</v>
      </c>
      <c r="F18" s="3">
        <v>-3252919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>
        <f>Z15-Z16+Z17-Z18+Z19</f>
      </c>
    </row>
    <row r="21" spans="1:2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x14ac:dyDescent="0.25">
      <c r="A22" s="2" t="s">
        <v>20</v>
      </c>
      <c r="B22" s="3">
        <v>845596</v>
      </c>
      <c r="C22" s="3">
        <v>910681</v>
      </c>
      <c r="D22" s="3">
        <v>1186515</v>
      </c>
      <c r="E22" s="3">
        <v>1000442</v>
      </c>
      <c r="F22" s="3">
        <v>969571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>
        <v>0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-111067</v>
      </c>
      <c r="C24" s="3">
        <v>-263289</v>
      </c>
      <c r="D24" s="3">
        <v>61478007</v>
      </c>
      <c r="E24" s="3">
        <v>-55160986</v>
      </c>
      <c r="F24" s="3">
        <v>-6649044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>
        <f>Z20+Z22+Z23+Z24</f>
      </c>
    </row>
    <row r="26" spans="1:25" x14ac:dyDescent="0.25">
      <c r="A26" s="2" t="s">
        <v>24</v>
      </c>
      <c r="B26" s="3">
        <v>882755</v>
      </c>
      <c r="C26" s="3">
        <v>780805</v>
      </c>
      <c r="D26" s="3">
        <v>5010995</v>
      </c>
      <c r="E26" s="3">
        <v>1437</v>
      </c>
      <c r="F26" s="3">
        <v>3550192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>
        <f>Z25-Z26</f>
      </c>
    </row>
    <row r="28" spans="1:2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>
        <f>IF(AND(COUNT(Y27,Z27)=2, Z27&lt;&gt;0, Y2&lt;&gt;0), Z27/Y27-1, " ")</f>
      </c>
    </row>
    <row r="35" spans="1:2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x14ac:dyDescent="0.25">
      <c r="A36" s="2" t="s">
        <v>32</v>
      </c>
      <c r="B36" s="3">
        <v>35112607</v>
      </c>
      <c r="C36" s="3">
        <v>35142340</v>
      </c>
      <c r="D36" s="3">
        <v>34807414</v>
      </c>
      <c r="E36" s="3">
        <v>32739678</v>
      </c>
      <c r="F36" s="3">
        <v>32634949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x14ac:dyDescent="0.25">
      <c r="A37" s="2" t="s">
        <v>33</v>
      </c>
      <c r="B37" s="3">
        <v>39768219</v>
      </c>
      <c r="C37" s="3">
        <v>47806589</v>
      </c>
      <c r="D37" s="3">
        <v>134518999</v>
      </c>
      <c r="E37" s="3">
        <v>50981788</v>
      </c>
      <c r="F37" s="3">
        <v>43876364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24806879</v>
      </c>
      <c r="C38" s="3">
        <v>23818790</v>
      </c>
      <c r="D38" s="3">
        <v>69750997</v>
      </c>
      <c r="E38" s="3">
        <v>41616693</v>
      </c>
      <c r="F38" s="3">
        <v>36224301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2023-12-22T01:42:44Z</cp:lastPrinted>
  <dcterms:created xsi:type="dcterms:W3CDTF">2023-12-22T01:42:44Z</dcterms:created>
  <dcterms:modified xsi:type="dcterms:W3CDTF">2023-12-22T01:42:44Z</dcterms:modified>
</cp:coreProperties>
</file>