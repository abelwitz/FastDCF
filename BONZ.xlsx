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<sst xmlns="http://schemas.openxmlformats.org/spreadsheetml/2006/main" count="72" uniqueCount="68">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</sst>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NZ" TargetMode="External"/><Relationship Id="rId5" Type="http://schemas.openxmlformats.org/officeDocument/2006/relationships/hyperlink" Target="https://finance.yahoo.com/quote/BO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619</v>
      </c>
      <c r="G2" s="3">
        <v>0</v>
      </c>
      <c r="H2" s="3">
        <v>297092</v>
      </c>
      <c r="I2" s="3">
        <v>11482606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87823</v>
      </c>
      <c r="I3" s="3">
        <v>8694945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1411239</v>
      </c>
      <c r="E6" s="3">
        <v>768056</v>
      </c>
      <c r="F6" s="3">
        <v>775183</v>
      </c>
      <c r="G6" s="3">
        <v>865</v>
      </c>
      <c r="H6" s="3">
        <v>1519429</v>
      </c>
      <c r="I6" s="3">
        <v>3527565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2283997</v>
      </c>
      <c r="C7" s="3">
        <v>717820</v>
      </c>
      <c r="D7" s="3">
        <v>754604</v>
      </c>
      <c r="E7" s="3">
        <v>66282</v>
      </c>
      <c r="F7" s="3">
        <v>207067</v>
      </c>
      <c r="G7" s="3">
        <v>0</v>
      </c>
      <c r="H7" s="3">
        <v>805788</v>
      </c>
      <c r="I7" s="3">
        <v>9293482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-18097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94832</v>
      </c>
      <c r="E11" s="3">
        <v>192517</v>
      </c>
      <c r="F11" s="3">
        <v>472060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-149284</v>
      </c>
      <c r="E12" s="3">
        <v>-64500</v>
      </c>
      <c r="F12" s="3">
        <v>29500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5126</v>
      </c>
      <c r="I16" s="3">
        <v>-3821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483</v>
      </c>
      <c r="F22" s="3">
        <v>23794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1116939</v>
      </c>
      <c r="E23" s="3">
        <v>213887</v>
      </c>
      <c r="F23" s="3">
        <v>392348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2283997</v>
      </c>
      <c r="C24" s="3">
        <v>717820</v>
      </c>
      <c r="D24" s="3">
        <v>1089765</v>
      </c>
      <c r="E24" s="3">
        <v>334600</v>
      </c>
      <c r="F24" s="3">
        <v>552731</v>
      </c>
      <c r="G24" s="3">
        <v>58</v>
      </c>
      <c r="H24" s="3">
        <v>2022106</v>
      </c>
      <c r="I24" s="3">
        <v>8860994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50000</v>
      </c>
      <c r="E26" s="3">
        <v>33173</v>
      </c>
      <c r="F26" s="3">
        <v>154265</v>
      </c>
      <c r="G26" s="3">
        <v>0</v>
      </c>
      <c r="H26" s="3">
        <v>153709</v>
      </c>
      <c r="I26" s="3">
        <v>1898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43767</v>
      </c>
      <c r="F36" s="3">
        <v>123938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399590</v>
      </c>
      <c r="F37" s="3">
        <v>737133</v>
      </c>
      <c r="G37" s="3">
        <v>2650</v>
      </c>
      <c r="H37" s="3">
        <v>285109</v>
      </c>
      <c r="I37" s="3">
        <v>4824774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62842</v>
      </c>
      <c r="C38" s="3">
        <v>256622</v>
      </c>
      <c r="D38" s="3">
        <v>539469</v>
      </c>
      <c r="E38" s="3">
        <v>2151500</v>
      </c>
      <c r="F38" s="3">
        <v>3191142</v>
      </c>
      <c r="G38" s="3">
        <v>4282</v>
      </c>
      <c r="H38" s="3">
        <v>2407792</v>
      </c>
      <c r="I38" s="3">
        <v>6823919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M37-M38</f>
      </c>
      <c r="H39" s="3">
        <f>N37-N38</f>
      </c>
      <c r="I39" s="3">
        <f>O37-O38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