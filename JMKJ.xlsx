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<sst xmlns="http://schemas.openxmlformats.org/spreadsheetml/2006/main" count="72" uniqueCount="68">
  <si>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</si>
  <si>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</si>
  <si>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</si>
  <si>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</si>
  <si>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</si>
  <si>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</si>
  <si>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</si>
  <si>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</si>
  <si>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</si>
  <si>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</si>
  <si>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</si>
  <si>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</si>
  <si>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</si>
  <si>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</si>
  <si>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</si>
  <si>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</si>
  <si>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</si>
  <si>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</si>
  <si>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</si>
  <si>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</si>
  <si>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</si>
  <si>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</si>
  <si>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</si>
  <si>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</si>
  <si>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</si>
  <si>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</si>
  <si>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</si>
  <si>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</si>
  <si>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</si>
  <si>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</si>
  <si>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</si>
  <si>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</si>
  <si>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</si>
  <si>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</si>
  <si>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</si>
  <si>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</si>
  <si>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</si>
  <si>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</si>
  <si>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</si>
  <si>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</si>
  <si>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</si>
  <si>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</si>
  <si>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</si>
  <si>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</si>
  <si>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</si>
  <si>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https://finance.yahoo.com/quote/JMKJ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</si>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</sst>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MK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MKJ" TargetMode="External"/><Relationship Id="rId5" Type="http://schemas.openxmlformats.org/officeDocument/2006/relationships/hyperlink" Target="https://finance.yahoo.com/quote/JM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40400</v>
      </c>
      <c r="C2" s="3">
        <v>112116</v>
      </c>
      <c r="D2" s="3">
        <v>124958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33835</v>
      </c>
      <c r="C3" s="3">
        <v>81389</v>
      </c>
      <c r="D3" s="3">
        <v>102703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</v>
      </c>
      <c r="C6" s="3">
        <v>66882</v>
      </c>
      <c r="D6" s="3">
        <v>26848</v>
      </c>
      <c r="E6" s="3">
        <v>0</v>
      </c>
      <c r="F6" s="3">
        <v>3860</v>
      </c>
      <c r="G6" s="3">
        <v>2151</v>
      </c>
      <c r="H6" s="3">
        <v>6636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4595</v>
      </c>
      <c r="F7" s="3">
        <v>4877</v>
      </c>
      <c r="G7" s="3">
        <v>15157</v>
      </c>
      <c r="H7" s="3">
        <v>27254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1600</v>
      </c>
      <c r="C16" s="3">
        <v>703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500</v>
      </c>
      <c r="D22" s="3">
        <v>500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1600</v>
      </c>
      <c r="C24" s="3">
        <v>703</v>
      </c>
      <c r="D24" s="3">
        <v>0</v>
      </c>
      <c r="E24" s="3">
        <v>4595</v>
      </c>
      <c r="F24" s="3">
        <v>8737</v>
      </c>
      <c r="G24" s="3">
        <v>-425</v>
      </c>
      <c r="H24" s="3">
        <v>-9160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10500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10733</v>
      </c>
      <c r="C37" s="3">
        <v>15098</v>
      </c>
      <c r="D37" s="3">
        <v>10506</v>
      </c>
      <c r="E37" s="3">
        <v>0</v>
      </c>
      <c r="F37" s="3">
        <v>0</v>
      </c>
      <c r="G37" s="3">
        <v>0</v>
      </c>
      <c r="H37" s="3">
        <v>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1800</v>
      </c>
      <c r="C38" s="3">
        <v>3023</v>
      </c>
      <c r="D38" s="3">
        <v>3023</v>
      </c>
      <c r="E38" s="3">
        <v>10248</v>
      </c>
      <c r="F38" s="3">
        <v>18985</v>
      </c>
      <c r="G38" s="3">
        <v>34293</v>
      </c>
      <c r="H38" s="3">
        <v>39557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>
        <f>I37-I38</f>
      </c>
      <c r="H39" s="3">
        <f>J37-J38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