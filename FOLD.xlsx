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<sst xmlns="http://schemas.openxmlformats.org/spreadsheetml/2006/main" count="72" uniqueCount="69">
  <si>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</si>
  <si>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</si>
  <si>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</si>
  <si>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</si>
  <si>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</si>
  <si>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</si>
  <si>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</si>
  <si>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</si>
  <si>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</si>
  <si>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</si>
  <si>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</si>
  <si>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</si>
  <si>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</si>
  <si>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</si>
  <si>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</si>
  <si>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</si>
  <si>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</si>
  <si>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</si>
  <si>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</si>
  <si>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</si>
  <si>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</si>
  <si>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</si>
  <si>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</si>
  <si>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</si>
  <si>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</si>
  <si>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</si>
  <si>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</si>
  <si>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</si>
  <si>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</si>
  <si>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</si>
  <si>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</si>
  <si>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</si>
  <si>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</si>
  <si>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</si>
  <si>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</si>
  <si>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</si>
  <si>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</si>
  <si>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</si>
  <si>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</si>
  <si>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</si>
  <si>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</si>
  <si>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</si>
  <si>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</si>
  <si>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</si>
  <si>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</si>
  <si>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</si>
  <si>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https://finance.yahoo.com/quote/FOLD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</si>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</sst>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FOL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FOLD" TargetMode="External"/><Relationship Id="rId5" Type="http://schemas.openxmlformats.org/officeDocument/2006/relationships/hyperlink" Target="https://finance.yahoo.com/quote/FOL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64358</v>
      </c>
      <c r="C2" s="3">
        <v>922</v>
      </c>
      <c r="D2" s="3">
        <v>21434</v>
      </c>
      <c r="E2" s="3">
        <v>18411</v>
      </c>
      <c r="F2" s="3">
        <v>363</v>
      </c>
      <c r="G2" s="3">
        <v>1224</v>
      </c>
      <c r="H2" s="3">
        <v>0</v>
      </c>
      <c r="I2" s="3">
        <v>4958</v>
      </c>
      <c r="J2" s="3">
        <v>36930</v>
      </c>
      <c r="K2" s="3">
        <v>32644</v>
      </c>
      <c r="L2" s="3">
        <v>55293</v>
      </c>
      <c r="M2" s="3">
        <v>70571</v>
      </c>
      <c r="N2" s="3">
        <v>305514</v>
      </c>
      <c r="O2" s="3">
        <v>329233</v>
      </c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>
        <v>0</v>
      </c>
      <c r="H3" s="3">
        <v>0</v>
      </c>
      <c r="I3" s="3">
        <v>833</v>
      </c>
      <c r="J3" s="3">
        <v>6236</v>
      </c>
      <c r="K3" s="3">
        <v>-44197</v>
      </c>
      <c r="L3" s="3">
        <v>-104981</v>
      </c>
      <c r="M3" s="3">
        <v>-159271</v>
      </c>
      <c r="N3" s="3">
        <v>34466</v>
      </c>
      <c r="O3" s="3">
        <v>38599</v>
      </c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48081</v>
      </c>
      <c r="C5" s="3">
        <v>39042</v>
      </c>
      <c r="D5" s="3">
        <v>50856</v>
      </c>
      <c r="E5" s="3">
        <v>50273</v>
      </c>
      <c r="F5" s="3">
        <v>41944</v>
      </c>
      <c r="G5" s="3">
        <v>47624</v>
      </c>
      <c r="H5" s="3">
        <v>76943</v>
      </c>
      <c r="I5" s="3">
        <v>104793</v>
      </c>
      <c r="J5" s="3">
        <v>149310</v>
      </c>
      <c r="K5" s="3">
        <v>270902</v>
      </c>
      <c r="L5" s="3">
        <v>286378</v>
      </c>
      <c r="M5" s="3">
        <v>308443</v>
      </c>
      <c r="N5" s="3">
        <v>272049</v>
      </c>
      <c r="O5" s="3">
        <v>276677</v>
      </c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19973</v>
      </c>
      <c r="C6" s="3">
        <v>15660</v>
      </c>
      <c r="D6" s="3">
        <v>19880</v>
      </c>
      <c r="E6" s="3">
        <v>19364</v>
      </c>
      <c r="F6" s="3">
        <v>18893</v>
      </c>
      <c r="G6" s="3">
        <v>20717</v>
      </c>
      <c r="H6" s="3">
        <v>47269</v>
      </c>
      <c r="I6" s="3">
        <v>71151</v>
      </c>
      <c r="J6" s="3">
        <v>88671</v>
      </c>
      <c r="K6" s="3">
        <v>127200</v>
      </c>
      <c r="L6" s="3">
        <v>169861</v>
      </c>
      <c r="M6" s="3">
        <v>156407</v>
      </c>
      <c r="N6" s="3">
        <v>192710</v>
      </c>
      <c r="O6" s="3">
        <v>213041</v>
      </c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3654</v>
      </c>
      <c r="C7" s="3">
        <v>2058</v>
      </c>
      <c r="D7" s="3">
        <v>1585</v>
      </c>
      <c r="E7" s="3">
        <v>1705</v>
      </c>
      <c r="F7" s="3">
        <v>3707</v>
      </c>
      <c r="G7" s="3">
        <v>1584</v>
      </c>
      <c r="H7" s="3">
        <v>6225</v>
      </c>
      <c r="I7" s="3">
        <v>10071</v>
      </c>
      <c r="J7" s="3">
        <v>234698</v>
      </c>
      <c r="K7" s="3">
        <v>7516</v>
      </c>
      <c r="L7" s="3">
        <v>8072</v>
      </c>
      <c r="M7" s="3">
        <v>11990</v>
      </c>
      <c r="N7" s="3">
        <v>12723</v>
      </c>
      <c r="O7" s="3">
        <v>13036</v>
      </c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997</v>
      </c>
      <c r="C10" s="3">
        <v>156</v>
      </c>
      <c r="D10" s="3">
        <v>160</v>
      </c>
      <c r="E10" s="3">
        <v>316</v>
      </c>
      <c r="F10" s="3">
        <v>174</v>
      </c>
      <c r="G10" s="3">
        <v>223</v>
      </c>
      <c r="H10" s="3">
        <v>929</v>
      </c>
      <c r="I10" s="3">
        <v>1602</v>
      </c>
      <c r="J10" s="3">
        <v>4096</v>
      </c>
      <c r="K10" s="3">
        <v>10461</v>
      </c>
      <c r="L10" s="3">
        <v>10249</v>
      </c>
      <c r="M10" s="3">
        <v>3226</v>
      </c>
      <c r="N10" s="3">
        <v>509</v>
      </c>
      <c r="O10" s="3">
        <v>3024</v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278</v>
      </c>
      <c r="C11" s="3">
        <v>260</v>
      </c>
      <c r="D11" s="3">
        <v>148</v>
      </c>
      <c r="E11" s="3">
        <v>89</v>
      </c>
      <c r="F11" s="3">
        <v>46</v>
      </c>
      <c r="G11" s="3">
        <v>1484</v>
      </c>
      <c r="H11" s="3">
        <v>1578</v>
      </c>
      <c r="I11" s="3">
        <v>5398</v>
      </c>
      <c r="J11" s="3">
        <v>17240</v>
      </c>
      <c r="K11" s="3">
        <v>22402</v>
      </c>
      <c r="L11" s="3">
        <v>18872</v>
      </c>
      <c r="M11" s="3">
        <v>22425</v>
      </c>
      <c r="N11" s="3">
        <v>32471</v>
      </c>
      <c r="O11" s="3">
        <v>37119</v>
      </c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64</v>
      </c>
      <c r="C12" s="3">
        <v>-133</v>
      </c>
      <c r="D12" s="3">
        <v>38584</v>
      </c>
      <c r="E12" s="3">
        <v>39444</v>
      </c>
      <c r="F12" s="3">
        <v>48304</v>
      </c>
      <c r="G12" s="3">
        <v>47629</v>
      </c>
      <c r="H12" s="3">
        <v>88189</v>
      </c>
      <c r="I12" s="3">
        <v>123300</v>
      </c>
      <c r="J12" s="3">
        <v>220802</v>
      </c>
      <c r="K12" s="3">
        <v>262541</v>
      </c>
      <c r="L12" s="3">
        <v>223409</v>
      </c>
      <c r="M12" s="3">
        <v>197394</v>
      </c>
      <c r="N12" s="3">
        <v>-3158</v>
      </c>
      <c r="O12" s="3">
        <v>4176</v>
      </c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 s="3">
        <f>Z10-Z11+Z12</f>
      </c>
    </row>
    <row r="14" spans="1:2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 s="3">
        <f>Z9+Z13-Z14</f>
      </c>
    </row>
    <row r="16" spans="1:26" x14ac:dyDescent="0.25">
      <c r="A16" s="2" t="s">
        <v>15</v>
      </c>
      <c r="B16" s="3">
        <v>0</v>
      </c>
      <c r="C16" s="3">
        <v>-1139</v>
      </c>
      <c r="D16" s="3">
        <v>-3629</v>
      </c>
      <c r="E16" s="3">
        <v>-3245</v>
      </c>
      <c r="F16" s="3">
        <v>-3512</v>
      </c>
      <c r="G16" s="3">
        <v>-1113</v>
      </c>
      <c r="H16" s="3">
        <v>0</v>
      </c>
      <c r="I16" s="3">
        <v>-3739</v>
      </c>
      <c r="J16" s="3">
        <v>-165119</v>
      </c>
      <c r="K16" s="3">
        <v>-94</v>
      </c>
      <c r="L16" s="3">
        <v>478</v>
      </c>
      <c r="M16" s="3">
        <v>2598</v>
      </c>
      <c r="N16" s="3">
        <v>8906</v>
      </c>
      <c r="O16" s="3">
        <v>-5471</v>
      </c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>
        <v>0</v>
      </c>
      <c r="J17" s="3">
        <v>0</v>
      </c>
      <c r="K17" s="3">
        <v>0</v>
      </c>
      <c r="L17" s="3">
        <v>0</v>
      </c>
      <c r="M17" s="3">
        <v>0</v>
      </c>
      <c r="N17" s="3">
        <v>0</v>
      </c>
      <c r="O17" s="3">
        <v>0</v>
      </c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>
        <v>0</v>
      </c>
      <c r="N18" s="3">
        <v>0</v>
      </c>
      <c r="O18" s="3">
        <v>0</v>
      </c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>
        <v>0</v>
      </c>
      <c r="N19" s="3">
        <v>0</v>
      </c>
      <c r="O19" s="3">
        <v>0</v>
      </c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 s="3">
        <f>Z15-Z16+Z17-Z18+Z19</f>
      </c>
    </row>
    <row r="21" spans="1:2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20</v>
      </c>
      <c r="B22" s="3">
        <v>2132</v>
      </c>
      <c r="C22" s="3">
        <v>2058</v>
      </c>
      <c r="D22" s="3">
        <v>1585</v>
      </c>
      <c r="E22" s="3">
        <v>1705</v>
      </c>
      <c r="F22" s="3">
        <v>1719</v>
      </c>
      <c r="G22" s="3">
        <v>1547</v>
      </c>
      <c r="H22" s="3">
        <v>1833</v>
      </c>
      <c r="I22" s="3">
        <v>3242</v>
      </c>
      <c r="J22" s="3">
        <v>3593</v>
      </c>
      <c r="K22" s="3">
        <v>4216</v>
      </c>
      <c r="L22" s="3">
        <v>4775</v>
      </c>
      <c r="M22" s="3">
        <v>8846</v>
      </c>
      <c r="N22" s="3">
        <v>6209</v>
      </c>
      <c r="O22" s="3">
        <v>5342</v>
      </c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x14ac:dyDescent="0.25">
      <c r="A23" s="2" t="s">
        <v>21</v>
      </c>
      <c r="B23" s="3">
        <v>7787</v>
      </c>
      <c r="C23" s="3">
        <v>6186</v>
      </c>
      <c r="D23" s="3">
        <v>8679</v>
      </c>
      <c r="E23" s="3">
        <v>6191</v>
      </c>
      <c r="F23" s="3">
        <v>6177</v>
      </c>
      <c r="G23" s="3">
        <v>6008</v>
      </c>
      <c r="H23" s="3">
        <v>9972</v>
      </c>
      <c r="I23" s="3">
        <v>17504</v>
      </c>
      <c r="J23" s="3">
        <v>23101</v>
      </c>
      <c r="K23" s="3">
        <v>29260</v>
      </c>
      <c r="L23" s="3">
        <v>44430</v>
      </c>
      <c r="M23" s="3">
        <v>49151</v>
      </c>
      <c r="N23" s="3">
        <v>57838</v>
      </c>
      <c r="O23" s="3">
        <v>76512</v>
      </c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-46723</v>
      </c>
      <c r="C24" s="3">
        <v>32709</v>
      </c>
      <c r="D24" s="3">
        <v>-51024</v>
      </c>
      <c r="E24" s="3">
        <v>2119</v>
      </c>
      <c r="F24" s="3">
        <v>4341</v>
      </c>
      <c r="G24" s="3">
        <v>13665</v>
      </c>
      <c r="H24" s="3">
        <v>-69047</v>
      </c>
      <c r="I24" s="3">
        <v>-112246</v>
      </c>
      <c r="J24" s="3">
        <v>-171181</v>
      </c>
      <c r="K24" s="3">
        <v>-255348</v>
      </c>
      <c r="L24" s="3">
        <v>-209892</v>
      </c>
      <c r="M24" s="3">
        <v>-219886</v>
      </c>
      <c r="N24" s="3">
        <v>-16078</v>
      </c>
      <c r="O24" s="3">
        <v>-11861</v>
      </c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 s="3">
        <f>Z20+Z22+Z23+Z24</f>
      </c>
    </row>
    <row r="26" spans="1:26" x14ac:dyDescent="0.25">
      <c r="A26" s="2" t="s">
        <v>24</v>
      </c>
      <c r="B26" s="3">
        <v>1807</v>
      </c>
      <c r="C26" s="3">
        <v>384</v>
      </c>
      <c r="D26" s="3">
        <v>1420</v>
      </c>
      <c r="E26" s="3">
        <v>4324</v>
      </c>
      <c r="F26" s="3">
        <v>695</v>
      </c>
      <c r="G26" s="3">
        <v>238</v>
      </c>
      <c r="H26" s="3">
        <v>4817</v>
      </c>
      <c r="I26" s="3">
        <v>5951</v>
      </c>
      <c r="J26" s="3">
        <v>4526</v>
      </c>
      <c r="K26" s="3">
        <v>6308</v>
      </c>
      <c r="L26" s="3">
        <v>20012</v>
      </c>
      <c r="M26" s="3">
        <v>3227</v>
      </c>
      <c r="N26" s="3">
        <v>3884</v>
      </c>
      <c r="O26" s="3">
        <v>3766</v>
      </c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 s="3">
        <f>Z25-Z26</f>
      </c>
    </row>
    <row r="28" spans="1:2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 s="4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 s="4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 s="4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 s="4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 s="4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 s="4">
        <f>IF(AND(COUNT(Y27,Z27)=2, Z27&lt;&gt;0, Y2&lt;&gt;0), Z27/Y27-1, " ")</f>
      </c>
    </row>
    <row r="35" spans="1:2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x14ac:dyDescent="0.25">
      <c r="A36" s="2" t="s">
        <v>32</v>
      </c>
      <c r="B36" s="3">
        <v>0</v>
      </c>
      <c r="C36" s="3">
        <v>2604</v>
      </c>
      <c r="D36" s="3">
        <v>2438</v>
      </c>
      <c r="E36" s="3">
        <v>5029</v>
      </c>
      <c r="F36" s="3">
        <v>4120</v>
      </c>
      <c r="G36" s="3">
        <v>2811</v>
      </c>
      <c r="H36" s="3">
        <v>6178</v>
      </c>
      <c r="I36" s="3">
        <v>9816</v>
      </c>
      <c r="J36" s="3">
        <v>9062</v>
      </c>
      <c r="K36" s="3">
        <v>11375</v>
      </c>
      <c r="L36" s="3">
        <v>47705</v>
      </c>
      <c r="M36" s="3">
        <v>43863</v>
      </c>
      <c r="N36" s="3">
        <v>42496</v>
      </c>
      <c r="O36" s="3">
        <v>30778</v>
      </c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x14ac:dyDescent="0.25">
      <c r="A37" s="2" t="s">
        <v>33</v>
      </c>
      <c r="B37" s="3">
        <v>0</v>
      </c>
      <c r="C37" s="3">
        <v>112552</v>
      </c>
      <c r="D37" s="3">
        <v>69795</v>
      </c>
      <c r="E37" s="3">
        <v>110088</v>
      </c>
      <c r="F37" s="3">
        <v>127563</v>
      </c>
      <c r="G37" s="3">
        <v>209967</v>
      </c>
      <c r="H37" s="3">
        <v>908384</v>
      </c>
      <c r="I37" s="3">
        <v>1036845</v>
      </c>
      <c r="J37" s="3">
        <v>627024</v>
      </c>
      <c r="K37" s="3">
        <v>789951</v>
      </c>
      <c r="L37" s="3">
        <v>850207</v>
      </c>
      <c r="M37" s="3">
        <v>886520</v>
      </c>
      <c r="N37" s="3">
        <v>905140</v>
      </c>
      <c r="O37" s="3">
        <v>724167</v>
      </c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-71833</v>
      </c>
      <c r="C38" s="3">
        <v>47618</v>
      </c>
      <c r="D38" s="3">
        <v>40203</v>
      </c>
      <c r="E38" s="3">
        <v>40868</v>
      </c>
      <c r="F38" s="3">
        <v>81812</v>
      </c>
      <c r="G38" s="3">
        <v>87789</v>
      </c>
      <c r="H38" s="3">
        <v>560550</v>
      </c>
      <c r="I38" s="3">
        <v>676694</v>
      </c>
      <c r="J38" s="3">
        <v>274174</v>
      </c>
      <c r="K38" s="3">
        <v>447039</v>
      </c>
      <c r="L38" s="3">
        <v>373782</v>
      </c>
      <c r="M38" s="3">
        <v>600140</v>
      </c>
      <c r="N38" s="3">
        <v>597771</v>
      </c>
      <c r="O38" s="3">
        <v>601120</v>
      </c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>
        <f>H37-H38</f>
      </c>
      <c r="I39" s="3">
        <f>I37-I38</f>
      </c>
      <c r="J39" s="3">
        <f>J37-J38</f>
      </c>
      <c r="K39" s="3">
        <f>K37-K38</f>
      </c>
      <c r="L39" s="3">
        <f>L37-L38</f>
      </c>
      <c r="M39" s="3">
        <f>M37-M38</f>
      </c>
      <c r="N39" s="3">
        <f>N37-N38</f>
      </c>
      <c r="O39" s="3">
        <f>O37-O38</f>
      </c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2023-12-22T01:44:48Z</cp:lastPrinted>
  <dcterms:created xsi:type="dcterms:W3CDTF">2023-12-22T01:44:48Z</dcterms:created>
  <dcterms:modified xsi:type="dcterms:W3CDTF">2023-12-22T01:44:48Z</dcterms:modified>
</cp:coreProperties>
</file>