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<sst xmlns="http://schemas.openxmlformats.org/spreadsheetml/2006/main" count="72" uniqueCount="68">
  <si>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</si>
  <si>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</si>
  <si>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</si>
  <si>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</si>
  <si>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</si>
  <si>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</si>
  <si>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</si>
  <si>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</si>
  <si>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</si>
  <si>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</si>
  <si>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</si>
  <si>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</si>
  <si>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</si>
  <si>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</si>
  <si>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</si>
  <si>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</si>
  <si>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</si>
  <si>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</si>
  <si>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</si>
  <si>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</si>
  <si>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</si>
  <si>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</si>
  <si>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</si>
  <si>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</si>
  <si>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</si>
  <si>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</si>
  <si>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</si>
  <si>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</si>
  <si>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</si>
  <si>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</si>
  <si>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</si>
  <si>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</si>
  <si>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</si>
  <si>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</si>
  <si>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</si>
  <si>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</si>
  <si>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</si>
  <si>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</si>
  <si>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</si>
  <si>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</si>
  <si>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</si>
  <si>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</si>
  <si>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</si>
  <si>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</si>
  <si>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</si>
  <si>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https://finance.yahoo.com/quote/BUDZ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</si>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</sst>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UD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UDZ" TargetMode="External"/><Relationship Id="rId5" Type="http://schemas.openxmlformats.org/officeDocument/2006/relationships/hyperlink" Target="https://finance.yahoo.com/quote/BU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460730</v>
      </c>
      <c r="C6" s="3">
        <v>2056228</v>
      </c>
      <c r="D6" s="3">
        <v>671679</v>
      </c>
      <c r="E6" s="3">
        <v>1358178</v>
      </c>
      <c r="F6" s="3">
        <v>969913</v>
      </c>
      <c r="G6" s="3">
        <v>313917</v>
      </c>
      <c r="H6" s="3">
        <v>797683</v>
      </c>
      <c r="I6" s="3">
        <v>567159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33414</v>
      </c>
      <c r="C7" s="3">
        <v>30407</v>
      </c>
      <c r="D7" s="3">
        <v>1712458</v>
      </c>
      <c r="E7" s="3">
        <v>27047440</v>
      </c>
      <c r="F7" s="3">
        <v>26447154</v>
      </c>
      <c r="G7" s="3">
        <v>3762557</v>
      </c>
      <c r="H7" s="3">
        <v>2003693</v>
      </c>
      <c r="I7" s="3">
        <v>938115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3500</v>
      </c>
      <c r="C10" s="3">
        <v>3500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-3500</v>
      </c>
      <c r="C11" s="3">
        <v>-3500</v>
      </c>
      <c r="D11" s="3">
        <v>13865</v>
      </c>
      <c r="E11" s="3">
        <v>12179</v>
      </c>
      <c r="F11" s="3">
        <v>11672</v>
      </c>
      <c r="G11" s="3">
        <v>40828</v>
      </c>
      <c r="H11" s="3">
        <v>39244</v>
      </c>
      <c r="I11" s="3">
        <v>117124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984788</v>
      </c>
      <c r="C12" s="3">
        <v>4169770</v>
      </c>
      <c r="D12" s="3">
        <v>-1083893</v>
      </c>
      <c r="E12" s="3">
        <v>-897210</v>
      </c>
      <c r="F12" s="3">
        <v>-100940</v>
      </c>
      <c r="G12" s="3">
        <v>52225</v>
      </c>
      <c r="H12" s="3">
        <v>-1230</v>
      </c>
      <c r="I12" s="3">
        <v>94293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1760</v>
      </c>
      <c r="C22" s="3">
        <v>1760</v>
      </c>
      <c r="D22" s="3">
        <v>44654</v>
      </c>
      <c r="E22" s="3">
        <v>180640</v>
      </c>
      <c r="F22" s="3">
        <v>159423</v>
      </c>
      <c r="G22" s="3">
        <v>145797</v>
      </c>
      <c r="H22" s="3">
        <v>129789</v>
      </c>
      <c r="I22" s="3">
        <v>111426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345047</v>
      </c>
      <c r="C23" s="3">
        <v>1877000</v>
      </c>
      <c r="D23" s="3">
        <v>0</v>
      </c>
      <c r="E23" s="3">
        <v>21201397</v>
      </c>
      <c r="F23" s="3">
        <v>22770662</v>
      </c>
      <c r="G23" s="3">
        <v>2015911</v>
      </c>
      <c r="H23" s="3">
        <v>2002850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-984039</v>
      </c>
      <c r="C24" s="3">
        <v>-4092631</v>
      </c>
      <c r="D24" s="3">
        <v>2767040</v>
      </c>
      <c r="E24" s="3">
        <v>4751667</v>
      </c>
      <c r="F24" s="3">
        <v>3488997</v>
      </c>
      <c r="G24" s="3">
        <v>1472382</v>
      </c>
      <c r="H24" s="3">
        <v>140297</v>
      </c>
      <c r="I24" s="3">
        <v>603704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5000</v>
      </c>
      <c r="C26" s="3">
        <v>0</v>
      </c>
      <c r="D26" s="3">
        <v>534605</v>
      </c>
      <c r="E26" s="3">
        <v>826481</v>
      </c>
      <c r="F26" s="3">
        <v>2979</v>
      </c>
      <c r="G26" s="3">
        <v>0</v>
      </c>
      <c r="H26" s="3">
        <v>271233</v>
      </c>
      <c r="I26" s="3">
        <v>-1257037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18972</v>
      </c>
      <c r="C36" s="3">
        <v>17412</v>
      </c>
      <c r="D36" s="3">
        <v>1000412</v>
      </c>
      <c r="E36" s="3">
        <v>2480533</v>
      </c>
      <c r="F36" s="3">
        <v>1780385</v>
      </c>
      <c r="G36" s="3">
        <v>1520763</v>
      </c>
      <c r="H36" s="3">
        <v>1876731</v>
      </c>
      <c r="I36" s="3">
        <v>1208830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183261</v>
      </c>
      <c r="C37" s="3">
        <v>132267</v>
      </c>
      <c r="D37" s="3">
        <v>1308339</v>
      </c>
      <c r="E37" s="3">
        <v>3020989</v>
      </c>
      <c r="F37" s="3">
        <v>1952612</v>
      </c>
      <c r="G37" s="3">
        <v>1818997</v>
      </c>
      <c r="H37" s="3">
        <v>1959225</v>
      </c>
      <c r="I37" s="3">
        <v>1633818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190575</v>
      </c>
      <c r="C38" s="3">
        <v>243116</v>
      </c>
      <c r="D38" s="3">
        <v>948128</v>
      </c>
      <c r="E38" s="3">
        <v>259362</v>
      </c>
      <c r="F38" s="3">
        <v>752970</v>
      </c>
      <c r="G38" s="3">
        <v>937278</v>
      </c>
      <c r="H38" s="3">
        <v>1341725</v>
      </c>
      <c r="I38" s="3">
        <v>1464022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I37-I38</f>
      </c>
      <c r="E39" s="3">
        <f>J37-J38</f>
      </c>
      <c r="F39" s="3">
        <f>K37-K38</f>
      </c>
      <c r="G39" s="3">
        <f>L37-L38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