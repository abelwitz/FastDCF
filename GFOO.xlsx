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<sst xmlns="http://schemas.openxmlformats.org/spreadsheetml/2006/main" count="72" uniqueCount="68">
  <si>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</si>
  <si>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</si>
  <si>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</si>
  <si>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</si>
  <si>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</si>
  <si>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</si>
  <si>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</si>
  <si>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</si>
  <si>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</si>
  <si>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</si>
  <si>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</si>
  <si>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</si>
  <si>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</si>
  <si>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</si>
  <si>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</si>
  <si>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</si>
  <si>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</si>
  <si>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</si>
  <si>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</si>
  <si>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</si>
  <si>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</si>
  <si>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</si>
  <si>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</si>
  <si>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</si>
  <si>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</si>
  <si>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</si>
  <si>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</si>
  <si>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</si>
  <si>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</si>
  <si>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</si>
  <si>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</si>
  <si>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</si>
  <si>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</si>
  <si>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</si>
  <si>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</si>
  <si>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</si>
  <si>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</si>
  <si>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</si>
  <si>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</si>
  <si>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</si>
  <si>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</si>
  <si>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</si>
  <si>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</si>
  <si>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</si>
  <si>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</si>
  <si>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https://finance.yahoo.com/quote/GFOO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</si>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</sst>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FO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FOO" TargetMode="External"/><Relationship Id="rId5" Type="http://schemas.openxmlformats.org/officeDocument/2006/relationships/hyperlink" Target="https://finance.yahoo.com/quote/GF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120558</v>
      </c>
      <c r="D2" s="3">
        <v>60993</v>
      </c>
      <c r="E2" s="3">
        <v>41244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69555</v>
      </c>
      <c r="D3" s="3">
        <v>43168</v>
      </c>
      <c r="E3" s="3">
        <v>21480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10672</v>
      </c>
      <c r="D6" s="3">
        <v>34379</v>
      </c>
      <c r="E6" s="3">
        <v>310986</v>
      </c>
      <c r="F6" s="3">
        <v>282176</v>
      </c>
      <c r="G6" s="3">
        <v>303509</v>
      </c>
      <c r="H6" s="3">
        <v>309907</v>
      </c>
      <c r="I6" s="3">
        <v>363637</v>
      </c>
      <c r="J6" s="3">
        <v>348845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23946</v>
      </c>
      <c r="C7" s="3">
        <v>545284</v>
      </c>
      <c r="D7" s="3">
        <v>427387</v>
      </c>
      <c r="E7" s="3">
        <v>1390079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572</v>
      </c>
      <c r="D10" s="3">
        <v>1140</v>
      </c>
      <c r="E10" s="3">
        <v>1337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12</v>
      </c>
      <c r="K10" s="3">
        <v>8</v>
      </c>
      <c r="L10" s="3">
        <v>-1202</v>
      </c>
      <c r="M10" s="3">
        <v>-999995</v>
      </c>
      <c r="N10" s="3">
        <v>-3823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598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46</v>
      </c>
      <c r="E12" s="3">
        <v>-3294</v>
      </c>
      <c r="F12" s="3">
        <v>-10</v>
      </c>
      <c r="G12" s="3">
        <v>-75</v>
      </c>
      <c r="H12" s="3">
        <v>0</v>
      </c>
      <c r="I12" s="3">
        <v>1050598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800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-1050000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318</v>
      </c>
      <c r="D22" s="3">
        <v>886</v>
      </c>
      <c r="E22" s="3">
        <v>12117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23946</v>
      </c>
      <c r="C24" s="3">
        <v>329957</v>
      </c>
      <c r="D24" s="3">
        <v>-89861</v>
      </c>
      <c r="E24" s="3">
        <v>46426</v>
      </c>
      <c r="F24" s="3">
        <v>-30658</v>
      </c>
      <c r="G24" s="3">
        <v>113949</v>
      </c>
      <c r="H24" s="3">
        <v>87135</v>
      </c>
      <c r="I24" s="3">
        <v>1059844</v>
      </c>
      <c r="J24" s="3">
        <v>129840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28525</v>
      </c>
      <c r="D26" s="3">
        <v>9401</v>
      </c>
      <c r="E26" s="3">
        <v>102492</v>
      </c>
      <c r="F26" s="3">
        <v>0</v>
      </c>
      <c r="G26" s="3">
        <v>0</v>
      </c>
      <c r="H26" s="3">
        <v>0</v>
      </c>
      <c r="I26" s="3">
        <v>1400000</v>
      </c>
      <c r="J26" s="3">
        <v>-350000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2386</v>
      </c>
      <c r="D36" s="3">
        <v>5476</v>
      </c>
      <c r="E36" s="3">
        <v>90165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599332</v>
      </c>
      <c r="D37" s="3">
        <v>1341493</v>
      </c>
      <c r="E37" s="3">
        <v>1195728</v>
      </c>
      <c r="F37" s="3">
        <v>167976</v>
      </c>
      <c r="G37" s="3">
        <v>121707</v>
      </c>
      <c r="H37" s="3">
        <v>18092</v>
      </c>
      <c r="I37" s="3">
        <v>385044</v>
      </c>
      <c r="J37" s="3">
        <v>150893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83442</v>
      </c>
      <c r="D38" s="3">
        <v>140386</v>
      </c>
      <c r="E38" s="3">
        <v>252028</v>
      </c>
      <c r="F38" s="3">
        <v>277341</v>
      </c>
      <c r="G38" s="3">
        <v>354051</v>
      </c>
      <c r="H38" s="3">
        <v>371035</v>
      </c>
      <c r="I38" s="3">
        <v>131572</v>
      </c>
      <c r="J38" s="3">
        <v>234242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J37-J38</f>
      </c>
      <c r="G39" s="3">
        <f>K37-K38</f>
      </c>
      <c r="H39" s="3">
        <f>L37-L38</f>
      </c>
      <c r="I39" s="3">
        <f>M37-M38</f>
      </c>
      <c r="J39" s="3">
        <f>N37-N38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