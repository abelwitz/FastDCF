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<sst xmlns="http://schemas.openxmlformats.org/spreadsheetml/2006/main" count="74" uniqueCount="71">
  <si>
    <t>(in thousands)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</si>
  <si>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</si>
  <si>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</si>
  <si>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</si>
  <si>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</si>
  <si>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</si>
  <si>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</si>
  <si>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</si>
  <si>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</si>
  <si>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</si>
  <si>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</si>
  <si>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</si>
  <si>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</si>
  <si>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</si>
  <si>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</si>
  <si>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</si>
  <si>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</si>
  <si>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</si>
  <si>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</si>
  <si>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</si>
  <si>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Extraordinary Gain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</si>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</sst>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26" x14ac:dyDescent="0.25">
      <c r="A1" s="1" t="s">
        <v>0</v>
      </c>
      <c r="B1" s="2">
        <v>2009</v>
      </c>
      <c r="C1" s="2">
        <v>2010</v>
      </c>
      <c r="D1" s="2">
        <v>2011</v>
      </c>
      <c r="E1" s="2">
        <v>2012</v>
      </c>
      <c r="F1" s="2">
        <v>2013</v>
      </c>
      <c r="G1" s="2">
        <v>2014</v>
      </c>
      <c r="H1" s="2">
        <v>2015</v>
      </c>
      <c r="I1" s="2">
        <v>2016</v>
      </c>
      <c r="J1" s="2">
        <v>2017</v>
      </c>
      <c r="K1" s="2">
        <v>2018</v>
      </c>
      <c r="L1" s="2">
        <v>2019</v>
      </c>
      <c r="M1" s="2">
        <v>2020</v>
      </c>
      <c r="N1" s="2">
        <v>2021</v>
      </c>
      <c r="O1" s="2">
        <v>2022</v>
      </c>
      <c r="P1" s="2">
        <v>2023</v>
      </c>
      <c r="Q1" s="2">
        <v>2024</v>
      </c>
      <c r="R1" s="2">
        <v>2025</v>
      </c>
      <c r="S1" s="2">
        <v>2026</v>
      </c>
      <c r="T1" s="2">
        <v>2027</v>
      </c>
      <c r="U1" s="2">
        <v>2028</v>
      </c>
      <c r="V1" s="2">
        <v>2029</v>
      </c>
      <c r="W1" s="2">
        <v>2030</v>
      </c>
      <c r="X1" s="2">
        <v>2031</v>
      </c>
      <c r="Y1" s="2">
        <v>2032</v>
      </c>
      <c r="Z1" s="2">
        <v>2033</v>
      </c>
    </row>
    <row r="2" spans="1:26" x14ac:dyDescent="0.25">
      <c r="A2" s="2" t="s">
        <v>1</v>
      </c>
      <c r="B2" s="3">
        <v>176108</v>
      </c>
      <c r="C2" s="3">
        <v>130976</v>
      </c>
      <c r="D2" s="3">
        <v>230839</v>
      </c>
      <c r="E2" s="3">
        <v>354277</v>
      </c>
      <c r="F2" s="3">
        <v>338253</v>
      </c>
      <c r="G2" s="3">
        <v>247091</v>
      </c>
      <c r="H2" s="3">
        <v>202653</v>
      </c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 spans="1:26" x14ac:dyDescent="0.25">
      <c r="A3" s="2" t="s">
        <v>2</v>
      </c>
      <c r="B3" s="3">
        <v>0</v>
      </c>
      <c r="C3" s="3">
        <v>0</v>
      </c>
      <c r="D3" s="3">
        <v>0</v>
      </c>
      <c r="E3" s="3">
        <v>0</v>
      </c>
      <c r="F3" s="3">
        <v>0</v>
      </c>
      <c r="G3" s="3">
        <v>0</v>
      </c>
      <c r="H3" s="3">
        <v>0</v>
      </c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 s="3">
        <f>X2-X3</f>
      </c>
      <c r="Y4" s="3">
        <f>Y2-Y3</f>
      </c>
      <c r="Z4" s="3">
        <f>Z2-Z3</f>
      </c>
    </row>
    <row r="5" spans="1:26" x14ac:dyDescent="0.25">
      <c r="A5" s="2" t="s">
        <v>4</v>
      </c>
      <c r="B5" s="3">
        <v>0</v>
      </c>
      <c r="C5" s="3">
        <v>0</v>
      </c>
      <c r="D5" s="3">
        <v>0</v>
      </c>
      <c r="E5" s="3">
        <v>0</v>
      </c>
      <c r="F5" s="3">
        <v>0</v>
      </c>
      <c r="G5" s="3">
        <v>0</v>
      </c>
      <c r="H5" s="3">
        <v>0</v>
      </c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 spans="1:26" x14ac:dyDescent="0.25">
      <c r="A6" s="2" t="s">
        <v>5</v>
      </c>
      <c r="B6" s="3">
        <v>11644</v>
      </c>
      <c r="C6" s="3">
        <v>14039</v>
      </c>
      <c r="D6" s="3">
        <v>14496</v>
      </c>
      <c r="E6" s="3">
        <v>13438</v>
      </c>
      <c r="F6" s="3">
        <v>15390</v>
      </c>
      <c r="G6" s="3">
        <v>15761</v>
      </c>
      <c r="H6" s="3">
        <v>14461</v>
      </c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 spans="1:26" x14ac:dyDescent="0.25">
      <c r="A7" s="2" t="s">
        <v>6</v>
      </c>
      <c r="B7" s="3">
        <v>143354</v>
      </c>
      <c r="C7" s="3">
        <v>151794</v>
      </c>
      <c r="D7" s="3">
        <v>206604</v>
      </c>
      <c r="E7" s="3">
        <v>266595</v>
      </c>
      <c r="F7" s="3">
        <v>262701</v>
      </c>
      <c r="G7" s="3">
        <v>218663</v>
      </c>
      <c r="H7" s="3">
        <v>266897</v>
      </c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 s="3">
        <f>X5+X6+X7</f>
      </c>
      <c r="Y8" s="3">
        <f>Y5+Y6+Y7</f>
      </c>
      <c r="Z8" s="3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 s="3">
        <f>X4-X8</f>
      </c>
      <c r="Y9" s="3">
        <f>Y4-Y8</f>
      </c>
      <c r="Z9" s="3">
        <f>Z4-Z8</f>
      </c>
    </row>
    <row r="10" spans="1:26" x14ac:dyDescent="0.25">
      <c r="A10" s="2" t="s">
        <v>9</v>
      </c>
      <c r="B10" s="3">
        <v>0</v>
      </c>
      <c r="C10" s="3">
        <v>0</v>
      </c>
      <c r="D10" s="3">
        <v>0</v>
      </c>
      <c r="E10" s="3">
        <v>0</v>
      </c>
      <c r="F10" s="3">
        <v>0</v>
      </c>
      <c r="G10" s="3">
        <v>0</v>
      </c>
      <c r="H10" s="3">
        <v>0</v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6" x14ac:dyDescent="0.25">
      <c r="A11" s="2" t="s">
        <v>10</v>
      </c>
      <c r="B11" s="3">
        <v>45481</v>
      </c>
      <c r="C11" s="3">
        <v>45982</v>
      </c>
      <c r="D11" s="3">
        <v>49113</v>
      </c>
      <c r="E11" s="3">
        <v>48456</v>
      </c>
      <c r="F11" s="3">
        <v>45984</v>
      </c>
      <c r="G11" s="3">
        <v>44217</v>
      </c>
      <c r="H11" s="3">
        <v>44609</v>
      </c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 spans="1:26" x14ac:dyDescent="0.25">
      <c r="A12" s="2" t="s">
        <v>11</v>
      </c>
      <c r="B12" s="3">
        <v>-45481</v>
      </c>
      <c r="C12" s="3">
        <v>-45982</v>
      </c>
      <c r="D12" s="3">
        <v>-49113</v>
      </c>
      <c r="E12" s="3">
        <v>-48456</v>
      </c>
      <c r="F12" s="3">
        <v>-45984</v>
      </c>
      <c r="G12" s="3">
        <v>-44217</v>
      </c>
      <c r="H12" s="3">
        <v>-44609</v>
      </c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 spans="1:26" x14ac:dyDescent="0.25">
      <c r="A13" s="2" t="s">
        <v>12</v>
      </c>
      <c r="B13" s="3">
        <v>-334</v>
      </c>
      <c r="C13" s="3">
        <v>-3697</v>
      </c>
      <c r="D13" s="3">
        <v>1058</v>
      </c>
      <c r="E13" s="3">
        <v>2261</v>
      </c>
      <c r="F13" s="3">
        <v>-3872</v>
      </c>
      <c r="G13" s="3">
        <v>-440</v>
      </c>
      <c r="H13" s="3">
        <v>-338</v>
      </c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 s="3">
        <f>O12+O13</f>
      </c>
      <c r="P14" s="3">
        <f>P12+P13</f>
      </c>
      <c r="Q14" s="3">
        <f>Q12+Q13</f>
      </c>
      <c r="R14" s="3">
        <f>R12+R13</f>
      </c>
      <c r="S14" s="3">
        <f>S12+S13</f>
      </c>
      <c r="T14" s="3">
        <f>T12+T13</f>
      </c>
      <c r="U14" s="3">
        <f>U12+U13</f>
      </c>
      <c r="V14" s="3">
        <f>V12+V13</f>
      </c>
      <c r="W14" s="3">
        <f>W12+W13</f>
      </c>
      <c r="X14" s="3">
        <f>X12+X13</f>
      </c>
      <c r="Y14" s="3">
        <f>Y12+Y13</f>
      </c>
      <c r="Z14" s="3">
        <f>Z12+Z13</f>
      </c>
    </row>
    <row r="15" spans="1:26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 s="3">
        <f>O9+O14-O15</f>
      </c>
      <c r="P16" s="3">
        <f>P9+P14-P15</f>
      </c>
      <c r="Q16" s="3">
        <f>Q9+Q14-Q15</f>
      </c>
      <c r="R16" s="3">
        <f>R9+R14-R15</f>
      </c>
      <c r="S16" s="3">
        <f>S9+S14-S15</f>
      </c>
      <c r="T16" s="3">
        <f>T9+T14-T15</f>
      </c>
      <c r="U16" s="3">
        <f>U9+U14-U15</f>
      </c>
      <c r="V16" s="3">
        <f>V9+V14-V15</f>
      </c>
      <c r="W16" s="3">
        <f>W9+W14-W15</f>
      </c>
      <c r="X16" s="3">
        <f>X9+X14-X15</f>
      </c>
      <c r="Y16" s="3">
        <f>Y9+Y14-Y15</f>
      </c>
      <c r="Z16" s="3">
        <f>Z9+Z14-Z15</f>
      </c>
    </row>
    <row r="17" spans="1:26" x14ac:dyDescent="0.25">
      <c r="A17" s="2" t="s">
        <v>16</v>
      </c>
      <c r="B17" s="3">
        <v>-9300</v>
      </c>
      <c r="C17" s="3">
        <v>-11012</v>
      </c>
      <c r="D17" s="3">
        <v>2805</v>
      </c>
      <c r="E17" s="3">
        <v>5435</v>
      </c>
      <c r="F17" s="3">
        <v>5243</v>
      </c>
      <c r="G17" s="3">
        <v>5950</v>
      </c>
      <c r="H17" s="3">
        <v>-5951</v>
      </c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 spans="1:26" x14ac:dyDescent="0.25">
      <c r="A18" s="2" t="s">
        <v>17</v>
      </c>
      <c r="B18" s="3">
        <v>0</v>
      </c>
      <c r="C18" s="3">
        <v>0</v>
      </c>
      <c r="D18" s="3">
        <v>0</v>
      </c>
      <c r="E18" s="3">
        <v>0</v>
      </c>
      <c r="F18" s="3">
        <v>0</v>
      </c>
      <c r="G18" s="3">
        <v>0</v>
      </c>
      <c r="H18" s="3">
        <v>0</v>
      </c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 spans="1:26" x14ac:dyDescent="0.25">
      <c r="A19" s="2" t="s">
        <v>18</v>
      </c>
      <c r="B19" s="3">
        <v>0</v>
      </c>
      <c r="C19" s="3">
        <v>26</v>
      </c>
      <c r="D19" s="3">
        <v>869</v>
      </c>
      <c r="E19" s="3">
        <v>1952</v>
      </c>
      <c r="F19" s="3">
        <v>1401</v>
      </c>
      <c r="G19" s="3">
        <v>1529</v>
      </c>
      <c r="H19" s="3">
        <v>1723</v>
      </c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 spans="1:26" x14ac:dyDescent="0.25">
      <c r="A20" s="2" t="s">
        <v>19</v>
      </c>
      <c r="B20" s="3">
        <v>0</v>
      </c>
      <c r="C20" s="3">
        <v>0</v>
      </c>
      <c r="D20" s="3">
        <v>0</v>
      </c>
      <c r="E20" s="3">
        <v>0</v>
      </c>
      <c r="F20" s="3">
        <v>0</v>
      </c>
      <c r="G20" s="3">
        <v>0</v>
      </c>
      <c r="H20" s="3">
        <v>0</v>
      </c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</row>
    <row r="21" spans="1:26" x14ac:dyDescent="0.25">
      <c r="A21" s="2" t="s">
        <v>20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 s="3">
        <f>O16-O17+O18-O19+O20+O21</f>
      </c>
      <c r="P22" s="3">
        <f>P16-P17+P18-P19+P20+P21</f>
      </c>
      <c r="Q22" s="3">
        <f>Q16-Q17+Q18-Q19+Q20+Q21</f>
      </c>
      <c r="R22" s="3">
        <f>R16-R17+R18-R19+R20+R21</f>
      </c>
      <c r="S22" s="3">
        <f>S16-S17+S18-S19+S20+S21</f>
      </c>
      <c r="T22" s="3">
        <f>T16-T17+T18-T19+T20+T21</f>
      </c>
      <c r="U22" s="3">
        <f>U16-U17+U18-U19+U20+U21</f>
      </c>
      <c r="V22" s="3">
        <f>V16-V17+V18-V19+V20+V21</f>
      </c>
      <c r="W22" s="3">
        <f>W16-W17+W18-W19+W20+W21</f>
      </c>
      <c r="X22" s="3">
        <f>X16-X17+X18-X19+X20+X21</f>
      </c>
      <c r="Y22" s="3">
        <f>Y16-Y17+Y18-Y19+Y20+Y21</f>
      </c>
      <c r="Z22" s="3">
        <f>Z16-Z17+Z18-Z19+Z20+Z21</f>
      </c>
    </row>
    <row r="23" spans="1:26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 spans="1:26" x14ac:dyDescent="0.25">
      <c r="A24" s="2" t="s">
        <v>22</v>
      </c>
      <c r="B24" s="3">
        <v>5190</v>
      </c>
      <c r="C24" s="3">
        <v>5517</v>
      </c>
      <c r="D24" s="3">
        <v>5264</v>
      </c>
      <c r="E24" s="3">
        <v>6860</v>
      </c>
      <c r="F24" s="3">
        <v>7986</v>
      </c>
      <c r="G24" s="3">
        <v>6883</v>
      </c>
      <c r="H24" s="3">
        <v>6753</v>
      </c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 spans="1:26" x14ac:dyDescent="0.25">
      <c r="A25" s="2" t="s">
        <v>23</v>
      </c>
      <c r="B25" s="3">
        <v>0</v>
      </c>
      <c r="C25" s="3">
        <v>0</v>
      </c>
      <c r="D25" s="3">
        <v>0</v>
      </c>
      <c r="E25" s="3">
        <v>0</v>
      </c>
      <c r="F25" s="3">
        <v>0</v>
      </c>
      <c r="G25" s="3">
        <v>0</v>
      </c>
      <c r="H25" s="3">
        <v>0</v>
      </c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</row>
    <row r="26" spans="1:26" x14ac:dyDescent="0.25">
      <c r="A26" s="2" t="s">
        <v>24</v>
      </c>
      <c r="B26" s="3">
        <v>46176</v>
      </c>
      <c r="C26" s="3">
        <v>74944</v>
      </c>
      <c r="D26" s="3">
        <v>55414</v>
      </c>
      <c r="E26" s="3">
        <v>-4043</v>
      </c>
      <c r="F26" s="3">
        <v>3397</v>
      </c>
      <c r="G26" s="3">
        <v>5883</v>
      </c>
      <c r="H26" s="3">
        <v>72987</v>
      </c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 s="3">
        <f>O22+O24+O25+O26</f>
      </c>
      <c r="P27" s="3">
        <f>P22+P24+P25+P26</f>
      </c>
      <c r="Q27" s="3">
        <f>Q22+Q24+Q25+Q26</f>
      </c>
      <c r="R27" s="3">
        <f>R22+R24+R25+R26</f>
      </c>
      <c r="S27" s="3">
        <f>S22+S24+S25+S26</f>
      </c>
      <c r="T27" s="3">
        <f>T22+T24+T25+T26</f>
      </c>
      <c r="U27" s="3">
        <f>U22+U24+U25+U26</f>
      </c>
      <c r="V27" s="3">
        <f>V22+V24+V25+V26</f>
      </c>
      <c r="W27" s="3">
        <f>W22+W24+W25+W26</f>
      </c>
      <c r="X27" s="3">
        <f>X22+X24+X25+X26</f>
      </c>
      <c r="Y27" s="3">
        <f>Y22+Y24+Y25+Y26</f>
      </c>
      <c r="Z27" s="3">
        <f>Z22+Z24+Z25+Z26</f>
      </c>
    </row>
    <row r="28" spans="1:26" x14ac:dyDescent="0.25">
      <c r="A28" s="2" t="s">
        <v>26</v>
      </c>
      <c r="B28" s="3">
        <v>6826</v>
      </c>
      <c r="C28" s="3">
        <v>4357</v>
      </c>
      <c r="D28" s="3">
        <v>4416</v>
      </c>
      <c r="E28" s="3">
        <v>5536</v>
      </c>
      <c r="F28" s="3">
        <v>5012</v>
      </c>
      <c r="G28" s="3">
        <v>4747</v>
      </c>
      <c r="H28" s="3">
        <v>5224</v>
      </c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 s="3">
        <f>O27-O28</f>
      </c>
      <c r="P29" s="3">
        <f>P27-P28</f>
      </c>
      <c r="Q29" s="3">
        <f>Q27-Q28</f>
      </c>
      <c r="R29" s="3">
        <f>R27-R28</f>
      </c>
      <c r="S29" s="3">
        <f>S27-S28</f>
      </c>
      <c r="T29" s="3">
        <f>T27-T28</f>
      </c>
      <c r="U29" s="3">
        <f>U27-U28</f>
      </c>
      <c r="V29" s="3">
        <f>V27-V28</f>
      </c>
      <c r="W29" s="3">
        <f>W27-W28</f>
      </c>
      <c r="X29" s="3">
        <f>X27-X28</f>
      </c>
      <c r="Y29" s="3">
        <f>Y27-Y28</f>
      </c>
      <c r="Z29" s="3">
        <f>Z27-Z28</f>
      </c>
    </row>
    <row r="30" spans="1:26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 s="4">
        <f>IF(AND(COUNT(N2,O2)=2, O2&lt;&gt;0, N2&lt;&gt;0), O2/N2-1, " ")</f>
      </c>
      <c r="P31" s="4">
        <f>IF(AND(COUNT(O2,P2)=2, P2&lt;&gt;0, O2&lt;&gt;0), P2/O2-1, " ")</f>
      </c>
      <c r="Q31" s="4">
        <f>IF(AND(COUNT(P2,Q2)=2, Q2&lt;&gt;0, P2&lt;&gt;0), Q2/P2-1, " ")</f>
      </c>
      <c r="R31" s="4">
        <f>IF(AND(COUNT(Q2,R2)=2, R2&lt;&gt;0, Q2&lt;&gt;0), R2/Q2-1, " ")</f>
      </c>
      <c r="S31" s="4">
        <f>IF(AND(COUNT(R2,S2)=2, S2&lt;&gt;0, R2&lt;&gt;0), S2/R2-1, " ")</f>
      </c>
      <c r="T31" s="4">
        <f>IF(AND(COUNT(S2,T2)=2, T2&lt;&gt;0, S2&lt;&gt;0), T2/S2-1, " ")</f>
      </c>
      <c r="U31" s="4">
        <f>IF(AND(COUNT(T2,U2)=2, U2&lt;&gt;0, T2&lt;&gt;0), U2/T2-1, " ")</f>
      </c>
      <c r="V31" s="4">
        <f>IF(AND(COUNT(U2,V2)=2, V2&lt;&gt;0, U2&lt;&gt;0), V2/U2-1, " ")</f>
      </c>
      <c r="W31" s="4">
        <f>IF(AND(COUNT(V2,W2)=2, W2&lt;&gt;0, V2&lt;&gt;0), W2/V2-1, " ")</f>
      </c>
      <c r="X31" s="4">
        <f>IF(AND(COUNT(W2,X2)=2, X2&lt;&gt;0, W2&lt;&gt;0), X2/W2-1, " ")</f>
      </c>
      <c r="Y31" s="4">
        <f>IF(AND(COUNT(X2,Y2)=2, Y2&lt;&gt;0, X2&lt;&gt;0), Y2/X2-1, " ")</f>
      </c>
      <c r="Z31" s="4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 s="4">
        <f>IF(AND(COUNT(O2,O4)=2, O2&lt;&gt;0), O4/O2, " ")</f>
      </c>
      <c r="P32" s="4">
        <f>IF(AND(COUNT(P2,P4)=2, P2&lt;&gt;0), P4/P2, " ")</f>
      </c>
      <c r="Q32" s="4">
        <f>IF(AND(COUNT(Q2,Q4)=2, Q2&lt;&gt;0), Q4/Q2, " ")</f>
      </c>
      <c r="R32" s="4">
        <f>IF(AND(COUNT(R2,R4)=2, R2&lt;&gt;0), R4/R2, " ")</f>
      </c>
      <c r="S32" s="4">
        <f>IF(AND(COUNT(S2,S4)=2, S2&lt;&gt;0), S4/S2, " ")</f>
      </c>
      <c r="T32" s="4">
        <f>IF(AND(COUNT(T2,T4)=2, T2&lt;&gt;0), T4/T2, " ")</f>
      </c>
      <c r="U32" s="4">
        <f>IF(AND(COUNT(U2,U4)=2, U2&lt;&gt;0), U4/U2, " ")</f>
      </c>
      <c r="V32" s="4">
        <f>IF(AND(COUNT(V2,V4)=2, V2&lt;&gt;0), V4/V2, " ")</f>
      </c>
      <c r="W32" s="4">
        <f>IF(AND(COUNT(W2,W4)=2, W2&lt;&gt;0), W4/W2, " ")</f>
      </c>
      <c r="X32" s="4">
        <f>IF(AND(COUNT(X2,X4)=2, X2&lt;&gt;0), X4/X2, " ")</f>
      </c>
      <c r="Y32" s="4">
        <f>IF(AND(COUNT(Y2,Y4)=2, Y2&lt;&gt;0), Y4/Y2, " ")</f>
      </c>
      <c r="Z32" s="4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 s="4">
        <f>IF(AND(COUNT(O2,O9)=2, O2&lt;&gt;0), O9/O2, " ")</f>
      </c>
      <c r="P33" s="4">
        <f>IF(AND(COUNT(P2,P9)=2, P2&lt;&gt;0), P9/P2, " ")</f>
      </c>
      <c r="Q33" s="4">
        <f>IF(AND(COUNT(Q2,Q9)=2, Q2&lt;&gt;0), Q9/Q2, " ")</f>
      </c>
      <c r="R33" s="4">
        <f>IF(AND(COUNT(R2,R9)=2, R2&lt;&gt;0), R9/R2, " ")</f>
      </c>
      <c r="S33" s="4">
        <f>IF(AND(COUNT(S2,S9)=2, S2&lt;&gt;0), S9/S2, " ")</f>
      </c>
      <c r="T33" s="4">
        <f>IF(AND(COUNT(T2,T9)=2, T2&lt;&gt;0), T9/T2, " ")</f>
      </c>
      <c r="U33" s="4">
        <f>IF(AND(COUNT(U2,U9)=2, U2&lt;&gt;0), U9/U2, " ")</f>
      </c>
      <c r="V33" s="4">
        <f>IF(AND(COUNT(V2,V9)=2, V2&lt;&gt;0), V9/V2, " ")</f>
      </c>
      <c r="W33" s="4">
        <f>IF(AND(COUNT(W2,W9)=2, W2&lt;&gt;0), W9/W2, " ")</f>
      </c>
      <c r="X33" s="4">
        <f>IF(AND(COUNT(X2,X9)=2, X2&lt;&gt;0), X9/X2, " ")</f>
      </c>
      <c r="Y33" s="4">
        <f>IF(AND(COUNT(Y2,Y9)=2, Y2&lt;&gt;0), Y9/Y2, " ")</f>
      </c>
      <c r="Z33" s="4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 s="4">
        <f>IF(AND(COUNT(O15,O15)=2, O15&lt;&gt;0), O16/O15, " ")</f>
      </c>
      <c r="P34" s="4">
        <f>IF(AND(COUNT(P15,P15)=2, P15&lt;&gt;0), P16/P15, " ")</f>
      </c>
      <c r="Q34" s="4">
        <f>IF(AND(COUNT(Q15,Q15)=2, Q15&lt;&gt;0), Q16/Q15, " ")</f>
      </c>
      <c r="R34" s="4">
        <f>IF(AND(COUNT(R15,R15)=2, R15&lt;&gt;0), R16/R15, " ")</f>
      </c>
      <c r="S34" s="4">
        <f>IF(AND(COUNT(S15,S15)=2, S15&lt;&gt;0), S16/S15, " ")</f>
      </c>
      <c r="T34" s="4">
        <f>IF(AND(COUNT(T15,T15)=2, T15&lt;&gt;0), T16/T15, " ")</f>
      </c>
      <c r="U34" s="4">
        <f>IF(AND(COUNT(U15,U15)=2, U15&lt;&gt;0), U16/U15, " ")</f>
      </c>
      <c r="V34" s="4">
        <f>IF(AND(COUNT(V15,V15)=2, V15&lt;&gt;0), V16/V15, " ")</f>
      </c>
      <c r="W34" s="4">
        <f>IF(AND(COUNT(W15,W15)=2, W15&lt;&gt;0), W16/W15, " ")</f>
      </c>
      <c r="X34" s="4">
        <f>IF(AND(COUNT(X15,X15)=2, X15&lt;&gt;0), X16/X15, " ")</f>
      </c>
      <c r="Y34" s="4">
        <f>IF(AND(COUNT(Y15,Y15)=2, Y15&lt;&gt;0), Y16/Y15, " ")</f>
      </c>
      <c r="Z34" s="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 s="4">
        <f>IF(AND(COUNT(O22,O2)=2, O2&lt;&gt;0), O22/O2, " ")</f>
      </c>
      <c r="P35" s="4">
        <f>IF(AND(COUNT(P22,P2)=2, P2&lt;&gt;0), P22/P2, " ")</f>
      </c>
      <c r="Q35" s="4">
        <f>IF(AND(COUNT(Q22,Q2)=2, Q2&lt;&gt;0), Q22/Q2, " ")</f>
      </c>
      <c r="R35" s="4">
        <f>IF(AND(COUNT(R22,R2)=2, R2&lt;&gt;0), R22/R2, " ")</f>
      </c>
      <c r="S35" s="4">
        <f>IF(AND(COUNT(S22,S2)=2, S2&lt;&gt;0), S22/S2, " ")</f>
      </c>
      <c r="T35" s="4">
        <f>IF(AND(COUNT(T22,T2)=2, T2&lt;&gt;0), T22/T2, " ")</f>
      </c>
      <c r="U35" s="4">
        <f>IF(AND(COUNT(U22,U2)=2, U2&lt;&gt;0), U22/U2, " ")</f>
      </c>
      <c r="V35" s="4">
        <f>IF(AND(COUNT(V22,V2)=2, V2&lt;&gt;0), V22/V2, " ")</f>
      </c>
      <c r="W35" s="4">
        <f>IF(AND(COUNT(W22,W2)=2, W2&lt;&gt;0), W22/W2, " ")</f>
      </c>
      <c r="X35" s="4">
        <f>IF(AND(COUNT(X22,X2)=2, X2&lt;&gt;0), X22/X2, " ")</f>
      </c>
      <c r="Y35" s="4">
        <f>IF(AND(COUNT(Y22,Y2)=2, Y2&lt;&gt;0), Y22/Y2, " ")</f>
      </c>
      <c r="Z35" s="4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 s="4">
        <f>IF(AND(COUNT(N29,O29)=2, O29&lt;&gt;0, N2&lt;&gt;0), O27/N29-1, " ")</f>
      </c>
      <c r="P36" s="4">
        <f>IF(AND(COUNT(O29,P29)=2, P29&lt;&gt;0, O2&lt;&gt;0), P27/O29-1, " ")</f>
      </c>
      <c r="Q36" s="4">
        <f>IF(AND(COUNT(P29,Q29)=2, Q29&lt;&gt;0, P2&lt;&gt;0), Q27/P29-1, " ")</f>
      </c>
      <c r="R36" s="4">
        <f>IF(AND(COUNT(Q29,R29)=2, R29&lt;&gt;0, Q2&lt;&gt;0), R27/Q29-1, " ")</f>
      </c>
      <c r="S36" s="4">
        <f>IF(AND(COUNT(R29,S29)=2, S29&lt;&gt;0, R2&lt;&gt;0), S27/R29-1, " ")</f>
      </c>
      <c r="T36" s="4">
        <f>IF(AND(COUNT(S29,T29)=2, T29&lt;&gt;0, S2&lt;&gt;0), T27/S29-1, " ")</f>
      </c>
      <c r="U36" s="4">
        <f>IF(AND(COUNT(T29,U29)=2, U29&lt;&gt;0, T2&lt;&gt;0), U27/T29-1, " ")</f>
      </c>
      <c r="V36" s="4">
        <f>IF(AND(COUNT(U29,V29)=2, V29&lt;&gt;0, U2&lt;&gt;0), V27/U29-1, " ")</f>
      </c>
      <c r="W36" s="4">
        <f>IF(AND(COUNT(V29,W29)=2, W29&lt;&gt;0, V2&lt;&gt;0), W27/V29-1, " ")</f>
      </c>
      <c r="X36" s="4">
        <f>IF(AND(COUNT(W29,X29)=2, X29&lt;&gt;0, W2&lt;&gt;0), X27/W29-1, " ")</f>
      </c>
      <c r="Y36" s="4">
        <f>IF(AND(COUNT(X29,Y29)=2, Y29&lt;&gt;0, X2&lt;&gt;0), Y27/X29-1, " ")</f>
      </c>
      <c r="Z36" s="4">
        <f>IF(AND(COUNT(Y29,Z29)=2, Z29&lt;&gt;0, Y2&lt;&gt;0), Z27/Y29-1, " ")</f>
      </c>
    </row>
    <row r="37" spans="1:26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 spans="1:26" x14ac:dyDescent="0.25">
      <c r="A38" s="2" t="s">
        <v>34</v>
      </c>
      <c r="B38" s="3">
        <v>0</v>
      </c>
      <c r="C38" s="3">
        <v>21920</v>
      </c>
      <c r="D38" s="3">
        <v>24674</v>
      </c>
      <c r="E38" s="3">
        <v>24322</v>
      </c>
      <c r="F38" s="3">
        <v>24356</v>
      </c>
      <c r="G38" s="3">
        <v>23189</v>
      </c>
      <c r="H38" s="3">
        <v>23445</v>
      </c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 spans="1:26" x14ac:dyDescent="0.25">
      <c r="A39" s="2" t="s">
        <v>35</v>
      </c>
      <c r="B39" s="3">
        <v>0</v>
      </c>
      <c r="C39" s="3">
        <v>466955</v>
      </c>
      <c r="D39" s="3">
        <v>470594</v>
      </c>
      <c r="E39" s="3">
        <v>480236</v>
      </c>
      <c r="F39" s="3">
        <v>498404</v>
      </c>
      <c r="G39" s="3">
        <v>448087</v>
      </c>
      <c r="H39" s="3">
        <v>307818</v>
      </c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  <row r="40" spans="1:26" x14ac:dyDescent="0.25">
      <c r="A40" s="2" t="s">
        <v>36</v>
      </c>
      <c r="B40" s="3">
        <v>0</v>
      </c>
      <c r="C40" s="3">
        <v>436241</v>
      </c>
      <c r="D40" s="3">
        <v>481718</v>
      </c>
      <c r="E40" s="3">
        <v>470229</v>
      </c>
      <c r="F40" s="3">
        <v>485843</v>
      </c>
      <c r="G40" s="3">
        <v>477355</v>
      </c>
      <c r="H40" s="3">
        <v>462296</v>
      </c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</row>
    <row r="41" spans="1:26" x14ac:dyDescent="0.25">
      <c r="A41" s="2" t="s">
        <v>37</v>
      </c>
      <c r="B41" s="3">
        <f>B39-B40</f>
      </c>
      <c r="C41" s="3">
        <f>C39-C40</f>
      </c>
      <c r="D41" s="3">
        <f>D39-D40</f>
      </c>
      <c r="E41" s="3">
        <f>E39-E40</f>
      </c>
      <c r="F41" s="3">
        <f>F39-F40</f>
      </c>
      <c r="G41" s="3">
        <f>G39-G40</f>
      </c>
      <c r="H41" s="3">
        <f>H39-H40</f>
      </c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38</v>
      </c>
    </row>
    <row r="3" spans="1:3" x14ac:dyDescent="0.25">
      <c r="A3" t="s">
        <v>39</v>
      </c>
      <c r="B3">
        <f>MATCH("Free Cash Flow to Firm", Financials!A:A, 0)</f>
      </c>
      <c r="C3" t="s">
        <v>40</v>
      </c>
    </row>
    <row r="4" spans="1:2" x14ac:dyDescent="0.25">
      <c r="A4" t="s">
        <v>41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42</v>
      </c>
      <c r="B6" s="4"/>
      <c r="C6" t="s">
        <v>43</v>
      </c>
    </row>
    <row r="7" spans="1:3" x14ac:dyDescent="0.25">
      <c r="A7" s="2" t="s">
        <v>44</v>
      </c>
      <c r="B7" s="4"/>
      <c r="C7" t="s">
        <v>45</v>
      </c>
    </row>
    <row r="8" spans="1:4" x14ac:dyDescent="0.25">
      <c r="A8" s="2" t="s">
        <v>46</v>
      </c>
      <c r="C8" t="s">
        <v>47</v>
      </c>
      <c r="D8" t="s">
        <v>48</v>
      </c>
    </row>
    <row r="9" spans="1:4" x14ac:dyDescent="0.25">
      <c r="A9" s="2" t="s">
        <v>49</v>
      </c>
      <c r="B9" s="4"/>
      <c r="C9" t="s">
        <v>50</v>
      </c>
      <c r="D9" t="s">
        <v>51</v>
      </c>
    </row>
    <row r="10" spans="1:4" x14ac:dyDescent="0.25">
      <c r="A10" s="2" t="s">
        <v>52</v>
      </c>
      <c r="B10" s="4"/>
      <c r="C10" t="s">
        <v>53</v>
      </c>
      <c r="D10" t="s">
        <v>54</v>
      </c>
    </row>
    <row r="11" spans="1:2" x14ac:dyDescent="0.25">
      <c r="A11" s="2" t="s">
        <v>55</v>
      </c>
      <c r="B11" s="4">
        <f>B10+B9*B8</f>
      </c>
    </row>
    <row r="12" spans="1:3" x14ac:dyDescent="0.25">
      <c r="A12" s="2" t="s">
        <v>56</v>
      </c>
      <c r="B12" s="4"/>
      <c r="C12" t="s">
        <v>57</v>
      </c>
    </row>
    <row r="13" spans="1:4" x14ac:dyDescent="0.25">
      <c r="A13" s="2" t="s">
        <v>58</v>
      </c>
      <c r="B13" s="3"/>
      <c r="C13" t="s">
        <v>59</v>
      </c>
      <c r="D13" t="s">
        <v>48</v>
      </c>
    </row>
    <row r="14" spans="1:3" x14ac:dyDescent="0.25">
      <c r="A14" s="2" t="s">
        <v>60</v>
      </c>
      <c r="B14" s="3"/>
      <c r="C14" t="s">
        <v>61</v>
      </c>
    </row>
    <row r="15" spans="1:2" x14ac:dyDescent="0.25">
      <c r="A15" t="s">
        <v>62</v>
      </c>
      <c r="B15" s="4">
        <f>IF(B13+B14&lt;&gt;0,((B13/(B13+B14))*B11)+((B14/(B13+B14))*B12*B7), 0)</f>
      </c>
    </row>
    <row r="16" spans="1:2" x14ac:dyDescent="0.25">
      <c r="A16" t="s">
        <v>63</v>
      </c>
      <c r="B16" s="4">
        <f>IF(B4-NOW()&gt;=0, MIN(YEARFRAC(NOW(),B4),1), 0)</f>
      </c>
    </row>
    <row r="17" spans="1:2" x14ac:dyDescent="0.25">
      <c r="A17" t="s">
        <v>64</v>
      </c>
      <c r="B17" s="3">
        <f>INDIRECT(CONCATENATE("Financials!", ADDRESS(B3, LOOKUP(2,1/(Financials!1:1=YEAR(TODAY())),COLUMN(Financials!1:1)))))*B16*1000</f>
      </c>
    </row>
    <row r="18" spans="1:2" x14ac:dyDescent="0.25">
      <c r="A18" t="s">
        <v>65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66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NOW())*1000,  " ")</f>
      </c>
    </row>
    <row r="20" spans="1:3" x14ac:dyDescent="0.25">
      <c r="A20" s="6" t="s">
        <v>67</v>
      </c>
      <c r="B20" s="3"/>
      <c r="C20" t="s">
        <v>68</v>
      </c>
    </row>
    <row r="21" spans="1:4" x14ac:dyDescent="0.25">
      <c r="A21" s="2" t="s">
        <v>69</v>
      </c>
      <c r="B21" s="3"/>
      <c r="C21" t="s">
        <v>59</v>
      </c>
      <c r="D21" t="s">
        <v>48</v>
      </c>
    </row>
    <row r="22" spans="1:2" x14ac:dyDescent="0.25">
      <c r="A22" t="s">
        <v>70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2023-12-24T00:46:58Z</cp:lastPrinted>
  <dcterms:created xsi:type="dcterms:W3CDTF">2023-12-24T00:46:58Z</dcterms:created>
  <dcterms:modified xsi:type="dcterms:W3CDTF">2023-12-24T00:46:58Z</dcterms:modified>
</cp:coreProperties>
</file>