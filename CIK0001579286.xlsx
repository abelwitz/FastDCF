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<sst xmlns="http://schemas.openxmlformats.org/spreadsheetml/2006/main" count="72" uniqueCount="68">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</sst>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708366000</v>
      </c>
      <c r="D2">
        <v>705519000</v>
      </c>
      <c r="E2">
        <v>648616000</v>
      </c>
      <c r="F2">
        <v>612948000</v>
      </c>
      <c r="G2">
        <v>337897000</v>
      </c>
    </row>
    <row r="3" spans="1:7" x14ac:dyDescent="0.25">
      <c r="A3" t="s">
        <v>2</v>
      </c>
      <c r="B3">
        <v>0</v>
      </c>
      <c r="C3">
        <v>561076000</v>
      </c>
      <c r="D3">
        <v>574412000</v>
      </c>
      <c r="E3">
        <v>517764000</v>
      </c>
      <c r="F3">
        <v>486668000</v>
      </c>
      <c r="G3">
        <v>263291000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379391</v>
      </c>
      <c r="C6">
        <v>129371000</v>
      </c>
      <c r="D6">
        <v>113797000</v>
      </c>
      <c r="E6">
        <v>103855000</v>
      </c>
      <c r="F6">
        <v>106470000</v>
      </c>
      <c r="G6">
        <v>78200000</v>
      </c>
    </row>
    <row r="7" spans="1:7" x14ac:dyDescent="0.25">
      <c r="A7" t="s">
        <v>6</v>
      </c>
      <c r="B7">
        <v>5344555</v>
      </c>
      <c r="C7">
        <v>98921000</v>
      </c>
      <c r="D7">
        <v>71397000</v>
      </c>
      <c r="E7">
        <v>3507000</v>
      </c>
      <c r="F7">
        <v>3316000</v>
      </c>
      <c r="G7">
        <v>4257000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31835000</v>
      </c>
      <c r="D11">
        <v>31843000</v>
      </c>
      <c r="E11">
        <v>33089000</v>
      </c>
      <c r="F11">
        <v>33437000</v>
      </c>
      <c r="G11">
        <v>32978000</v>
      </c>
    </row>
    <row r="12" spans="1:7" x14ac:dyDescent="0.25">
      <c r="A12" t="s">
        <v>11</v>
      </c>
      <c r="B12">
        <v>45583</v>
      </c>
      <c r="C12">
        <v>97000</v>
      </c>
      <c r="D12">
        <v>900000</v>
      </c>
      <c r="E12">
        <v>-17139000</v>
      </c>
      <c r="F12">
        <v>-839000</v>
      </c>
      <c r="G12">
        <v>1098000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-22255000</v>
      </c>
      <c r="D16">
        <v>-6296000</v>
      </c>
      <c r="E16">
        <v>-10384000</v>
      </c>
      <c r="F16">
        <v>4052000</v>
      </c>
      <c r="G16">
        <v>4016000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10929000</v>
      </c>
      <c r="F17">
        <v>1493000</v>
      </c>
      <c r="G17">
        <v>-38177000</v>
      </c>
    </row>
    <row r="18" spans="1:7" x14ac:dyDescent="0.25">
      <c r="A18" t="s">
        <v>17</v>
      </c>
      <c r="B18">
        <v>0</v>
      </c>
      <c r="C18">
        <v>-15143000</v>
      </c>
      <c r="D18">
        <v>-10818000</v>
      </c>
      <c r="E18">
        <v>5000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884000</v>
      </c>
      <c r="D19">
        <v>681000</v>
      </c>
      <c r="E19">
        <v>952000</v>
      </c>
      <c r="F19">
        <v>1024000</v>
      </c>
      <c r="G19">
        <v>316000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45248000</v>
      </c>
      <c r="D22">
        <v>44041000</v>
      </c>
      <c r="E22">
        <v>38934000</v>
      </c>
      <c r="F22">
        <v>42604000</v>
      </c>
      <c r="G22">
        <v>22235000</v>
      </c>
    </row>
    <row r="23" spans="1:7" x14ac:dyDescent="0.25">
      <c r="A23" t="s">
        <v>21</v>
      </c>
      <c r="B23">
        <v>0</v>
      </c>
      <c r="C23">
        <v>7969000</v>
      </c>
      <c r="D23">
        <v>-752000</v>
      </c>
      <c r="E23">
        <v>1119000</v>
      </c>
      <c r="F23">
        <v>2709000</v>
      </c>
      <c r="G23">
        <v>3354000</v>
      </c>
    </row>
    <row r="24" spans="1:7" x14ac:dyDescent="0.25">
      <c r="A24" t="s">
        <v>22</v>
      </c>
      <c r="B24">
        <v>5678363</v>
      </c>
      <c r="C24">
        <v>60275000</v>
      </c>
      <c r="D24">
        <v>59063000</v>
      </c>
      <c r="E24">
        <v>-5484000</v>
      </c>
      <c r="F24">
        <v>3761000</v>
      </c>
      <c r="G24">
        <v>35219000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177076650</v>
      </c>
      <c r="C26">
        <v>32786000</v>
      </c>
      <c r="D26">
        <v>19780000</v>
      </c>
      <c r="E26">
        <v>15873000</v>
      </c>
      <c r="F26">
        <v>13753000</v>
      </c>
      <c r="G26">
        <v>11785000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177823000</v>
      </c>
      <c r="E36">
        <v>154196000</v>
      </c>
      <c r="F36">
        <v>134869000</v>
      </c>
      <c r="G36">
        <v>70276000</v>
      </c>
    </row>
    <row r="37" spans="1:7" x14ac:dyDescent="0.25">
      <c r="A37" t="s">
        <v>33</v>
      </c>
      <c r="B37">
        <v>177952639</v>
      </c>
      <c r="C37">
        <v>0</v>
      </c>
      <c r="D37">
        <v>583836000</v>
      </c>
      <c r="E37">
        <v>546323000</v>
      </c>
      <c r="F37">
        <v>503597000</v>
      </c>
      <c r="G37">
        <v>387101000</v>
      </c>
    </row>
    <row r="38" spans="1:7" x14ac:dyDescent="0.25">
      <c r="A38" t="s">
        <v>34</v>
      </c>
      <c r="B38">
        <v>172952628</v>
      </c>
      <c r="C38">
        <v>0</v>
      </c>
      <c r="D38">
        <v>586873000</v>
      </c>
      <c r="E38">
        <v>540639000</v>
      </c>
      <c r="F38">
        <v>503597000</v>
      </c>
      <c r="G38">
        <v>387101000</v>
      </c>
    </row>
    <row r="39" spans="1:7" x14ac:dyDescent="0.25">
      <c r="A39" t="s">
        <v>35</v>
      </c>
      <c r="B39">
        <f>B37-B38</f>
      </c>
      <c r="C39">
        <f>D37-D38</f>
      </c>
      <c r="D39">
        <f>E37-E38</f>
      </c>
      <c r="E39">
        <f>F37-F38</f>
      </c>
      <c r="F39">
        <f>G37-G38</f>
      </c>
      <c r="G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