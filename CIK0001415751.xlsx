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<sst xmlns="http://schemas.openxmlformats.org/spreadsheetml/2006/main" count="74" uniqueCount="70">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</sst>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24" x14ac:dyDescent="0.25">
      <c r="A1" s="1" t="s">
        <v>0</v>
      </c>
      <c r="B1" s="2">
        <v>2011</v>
      </c>
      <c r="C1" s="2">
        <v>2012</v>
      </c>
      <c r="D1" s="2">
        <v>2013</v>
      </c>
      <c r="E1" s="2">
        <v>2014</v>
      </c>
      <c r="F1" s="2">
        <v>2015</v>
      </c>
      <c r="G1" s="2">
        <v>2016</v>
      </c>
      <c r="H1" s="2">
        <v>2017</v>
      </c>
      <c r="I1" s="2">
        <v>2018</v>
      </c>
      <c r="J1" s="2">
        <v>2019</v>
      </c>
      <c r="K1" s="2">
        <v>2020</v>
      </c>
      <c r="L1" s="2">
        <v>2021</v>
      </c>
      <c r="M1" s="2">
        <v>2022</v>
      </c>
      <c r="N1" s="2">
        <v>2023</v>
      </c>
      <c r="O1" s="2">
        <v>2024</v>
      </c>
      <c r="P1" s="2">
        <v>2025</v>
      </c>
      <c r="Q1" s="2">
        <v>2026</v>
      </c>
      <c r="R1" s="2">
        <v>2027</v>
      </c>
      <c r="S1" s="2">
        <v>2028</v>
      </c>
      <c r="T1" s="2">
        <v>2029</v>
      </c>
      <c r="U1" s="2">
        <v>2030</v>
      </c>
      <c r="V1" s="2">
        <v>2031</v>
      </c>
      <c r="W1" s="2">
        <v>2032</v>
      </c>
      <c r="X1" s="2">
        <v>2033</v>
      </c>
    </row>
    <row r="2" spans="1:24" x14ac:dyDescent="0.25">
      <c r="A2" s="2" t="s">
        <v>1</v>
      </c>
      <c r="B2" s="3">
        <v>0</v>
      </c>
      <c r="C2" s="3">
        <v>0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</row>
    <row r="3" spans="1:24" x14ac:dyDescent="0.25">
      <c r="A3" s="2" t="s">
        <v>2</v>
      </c>
      <c r="B3" s="3">
        <v>0</v>
      </c>
      <c r="C3" s="3">
        <v>0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>
        <f>Y2-Y3</f>
      </c>
      <c r="Z4">
        <f>Z2-Z3</f>
      </c>
    </row>
    <row r="5" spans="1:2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</row>
    <row r="6" spans="1:24" x14ac:dyDescent="0.25">
      <c r="A6" s="2" t="s">
        <v>5</v>
      </c>
      <c r="B6" s="3">
        <v>0</v>
      </c>
      <c r="C6" s="3">
        <v>2087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</row>
    <row r="7" spans="1:24" x14ac:dyDescent="0.25">
      <c r="A7" s="2" t="s">
        <v>6</v>
      </c>
      <c r="B7" s="3">
        <v>16690</v>
      </c>
      <c r="C7" s="3">
        <v>23197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>
        <f>Y4-Y8</f>
      </c>
      <c r="Z9">
        <f>Z4-Z8</f>
      </c>
    </row>
    <row r="10" spans="1:26" x14ac:dyDescent="0.25">
      <c r="A10" s="2" t="s">
        <v>9</v>
      </c>
      <c r="B10" s="3"/>
      <c r="C10" s="3"/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4" x14ac:dyDescent="0.25">
      <c r="A11" s="2" t="s">
        <v>10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</row>
    <row r="12" spans="1:24" x14ac:dyDescent="0.25">
      <c r="A12" s="2" t="s">
        <v>11</v>
      </c>
      <c r="B12" s="3">
        <v>0</v>
      </c>
      <c r="C12" s="3">
        <v>0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</row>
    <row r="13" spans="1:24" x14ac:dyDescent="0.25">
      <c r="A13" s="2" t="s">
        <v>12</v>
      </c>
      <c r="B13" s="3">
        <v>0</v>
      </c>
      <c r="C13" s="3">
        <v>0</v>
      </c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 s="3">
        <f>P12+P13</f>
      </c>
      <c r="Q14" s="3">
        <f>Q12+Q13</f>
      </c>
      <c r="R14" s="3">
        <f>R12+R13</f>
      </c>
      <c r="S14" s="3">
        <f>S12+S13</f>
      </c>
      <c r="T14" s="3">
        <f>T12+T13</f>
      </c>
      <c r="U14" s="3">
        <f>U12+U13</f>
      </c>
      <c r="V14" s="3">
        <f>V12+V13</f>
      </c>
      <c r="W14" s="3">
        <f>W12+W13</f>
      </c>
      <c r="X14" s="3">
        <f>X12+X13</f>
      </c>
      <c r="Y14">
        <f>Y12+Y13</f>
      </c>
      <c r="Z14">
        <f>Z12+Z13</f>
      </c>
    </row>
    <row r="15" spans="1:24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 s="3">
        <f>P9+P14-P15</f>
      </c>
      <c r="Q16" s="3">
        <f>Q9+Q14-Q15</f>
      </c>
      <c r="R16" s="3">
        <f>R9+R14-R15</f>
      </c>
      <c r="S16" s="3">
        <f>S9+S14-S15</f>
      </c>
      <c r="T16" s="3">
        <f>T9+T14-T15</f>
      </c>
      <c r="U16" s="3">
        <f>U9+U14-U15</f>
      </c>
      <c r="V16" s="3">
        <f>V9+V14-V15</f>
      </c>
      <c r="W16" s="3">
        <f>W9+W14-W15</f>
      </c>
      <c r="X16" s="3">
        <f>X9+X14-X15</f>
      </c>
      <c r="Y16">
        <f>Y9+Y14-Y15</f>
      </c>
      <c r="Z16">
        <f>Z9+Z14-Z15</f>
      </c>
    </row>
    <row r="17" spans="1:2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</row>
    <row r="18" spans="1:2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</row>
    <row r="19" spans="1:2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</row>
    <row r="20" spans="1:24" x14ac:dyDescent="0.25">
      <c r="A20" s="2" t="s">
        <v>19</v>
      </c>
      <c r="B20" s="3">
        <v>0</v>
      </c>
      <c r="C20" s="3">
        <v>0</v>
      </c>
      <c r="D20" s="3"/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</row>
    <row r="21" spans="1:24" x14ac:dyDescent="0.25">
      <c r="A21" s="2" t="s">
        <v>20</v>
      </c>
      <c r="B21" s="3">
        <v>0</v>
      </c>
      <c r="C21" s="3">
        <v>0</v>
      </c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 s="3">
        <f>P16-P17+P18-P19+P20+P21</f>
      </c>
      <c r="Q22" s="3">
        <f>Q16-Q17+Q18-Q19+Q20+Q21</f>
      </c>
      <c r="R22" s="3">
        <f>R16-R17+R18-R19+R20+R21</f>
      </c>
      <c r="S22" s="3">
        <f>S16-S17+S18-S19+S20+S21</f>
      </c>
      <c r="T22" s="3">
        <f>T16-T17+T18-T19+T20+T21</f>
      </c>
      <c r="U22" s="3">
        <f>U16-U17+U18-U19+U20+U21</f>
      </c>
      <c r="V22" s="3">
        <f>V16-V17+V18-V19+V20+V21</f>
      </c>
      <c r="W22" s="3">
        <f>W16-W17+W18-W19+W20+W21</f>
      </c>
      <c r="X22" s="3">
        <f>X16-X17+X18-X19+X20+X21</f>
      </c>
      <c r="Y22">
        <f>Y16-Y17+Y18-Y19+Y20+Y21</f>
      </c>
      <c r="Z22">
        <f>Z16-Z17+Z18-Z19+Z20+Z21</f>
      </c>
    </row>
    <row r="23" spans="1:24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</row>
    <row r="24" spans="1:24" x14ac:dyDescent="0.25">
      <c r="A24" s="2" t="s">
        <v>22</v>
      </c>
      <c r="B24" s="3">
        <v>0</v>
      </c>
      <c r="C24" s="3">
        <v>0</v>
      </c>
      <c r="D24" s="3">
        <v>0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</row>
    <row r="25" spans="1:24" x14ac:dyDescent="0.25">
      <c r="A25" s="2" t="s">
        <v>23</v>
      </c>
      <c r="B25" s="3">
        <v>0</v>
      </c>
      <c r="C25" s="3">
        <v>0</v>
      </c>
      <c r="D25" s="3">
        <v>0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</row>
    <row r="26" spans="1:24" x14ac:dyDescent="0.25">
      <c r="A26" s="2" t="s">
        <v>24</v>
      </c>
      <c r="B26" s="3">
        <v>3808</v>
      </c>
      <c r="C26" s="3">
        <v>-1541</v>
      </c>
      <c r="D26" s="3">
        <v>72595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 s="3">
        <f>P22+P24+P25+P26</f>
      </c>
      <c r="Q27" s="3">
        <f>Q22+Q24+Q25+Q26</f>
      </c>
      <c r="R27" s="3">
        <f>R22+R24+R25+R26</f>
      </c>
      <c r="S27" s="3">
        <f>S22+S24+S25+S26</f>
      </c>
      <c r="T27" s="3">
        <f>T22+T24+T25+T26</f>
      </c>
      <c r="U27" s="3">
        <f>U22+U24+U25+U26</f>
      </c>
      <c r="V27" s="3">
        <f>V22+V24+V25+V26</f>
      </c>
      <c r="W27" s="3">
        <f>W22+W24+W25+W26</f>
      </c>
      <c r="X27" s="3">
        <f>X22+X24+X25+X26</f>
      </c>
      <c r="Y27">
        <f>Y22+Y24+Y25+Y26</f>
      </c>
      <c r="Z27">
        <f>Z22+Z24+Z25+Z26</f>
      </c>
    </row>
    <row r="28" spans="1:24" x14ac:dyDescent="0.25">
      <c r="A28" s="2" t="s">
        <v>26</v>
      </c>
      <c r="B28" s="3">
        <v>0</v>
      </c>
      <c r="C28" s="3">
        <v>5950</v>
      </c>
      <c r="D28" s="3">
        <v>131050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 s="3">
        <f>P27-P28</f>
      </c>
      <c r="Q29" s="3">
        <f>Q27-Q28</f>
      </c>
      <c r="R29" s="3">
        <f>R27-R28</f>
      </c>
      <c r="S29" s="3">
        <f>S27-S28</f>
      </c>
      <c r="T29" s="3">
        <f>T27-T28</f>
      </c>
      <c r="U29" s="3">
        <f>U27-U28</f>
      </c>
      <c r="V29" s="3">
        <f>V27-V28</f>
      </c>
      <c r="W29" s="3">
        <f>W27-W28</f>
      </c>
      <c r="X29" s="3">
        <f>X27-X28</f>
      </c>
      <c r="Y29">
        <f>Y27-Y28</f>
      </c>
      <c r="Z29">
        <f>Z27-Z28</f>
      </c>
    </row>
    <row r="30" spans="1:24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 s="4">
        <f>IF(AND(COUNT(O2,P2)=2, P2&lt;&gt;0, O2&lt;&gt;0), P2/O2-1, " ")</f>
      </c>
      <c r="Q31" s="4">
        <f>IF(AND(COUNT(P2,Q2)=2, Q2&lt;&gt;0, P2&lt;&gt;0), Q2/P2-1, " ")</f>
      </c>
      <c r="R31" s="4">
        <f>IF(AND(COUNT(Q2,R2)=2, R2&lt;&gt;0, Q2&lt;&gt;0), R2/Q2-1, " ")</f>
      </c>
      <c r="S31" s="4">
        <f>IF(AND(COUNT(R2,S2)=2, S2&lt;&gt;0, R2&lt;&gt;0), S2/R2-1, " ")</f>
      </c>
      <c r="T31" s="4">
        <f>IF(AND(COUNT(S2,T2)=2, T2&lt;&gt;0, S2&lt;&gt;0), T2/S2-1, " ")</f>
      </c>
      <c r="U31" s="4">
        <f>IF(AND(COUNT(T2,U2)=2, U2&lt;&gt;0, T2&lt;&gt;0), U2/T2-1, " ")</f>
      </c>
      <c r="V31" s="4">
        <f>IF(AND(COUNT(U2,V2)=2, V2&lt;&gt;0, U2&lt;&gt;0), V2/U2-1, " ")</f>
      </c>
      <c r="W31" s="4">
        <f>IF(AND(COUNT(V2,W2)=2, W2&lt;&gt;0, V2&lt;&gt;0), W2/V2-1, " ")</f>
      </c>
      <c r="X31" s="4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 s="4">
        <f>IF(AND(COUNT(P2,P4)=2, P2&lt;&gt;0), P4/P2, " ")</f>
      </c>
      <c r="Q32" s="4">
        <f>IF(AND(COUNT(Q2,Q4)=2, Q2&lt;&gt;0), Q4/Q2, " ")</f>
      </c>
      <c r="R32" s="4">
        <f>IF(AND(COUNT(R2,R4)=2, R2&lt;&gt;0), R4/R2, " ")</f>
      </c>
      <c r="S32" s="4">
        <f>IF(AND(COUNT(S2,S4)=2, S2&lt;&gt;0), S4/S2, " ")</f>
      </c>
      <c r="T32" s="4">
        <f>IF(AND(COUNT(T2,T4)=2, T2&lt;&gt;0), T4/T2, " ")</f>
      </c>
      <c r="U32" s="4">
        <f>IF(AND(COUNT(U2,U4)=2, U2&lt;&gt;0), U4/U2, " ")</f>
      </c>
      <c r="V32" s="4">
        <f>IF(AND(COUNT(V2,V4)=2, V2&lt;&gt;0), V4/V2, " ")</f>
      </c>
      <c r="W32" s="4">
        <f>IF(AND(COUNT(W2,W4)=2, W2&lt;&gt;0), W4/W2, " ")</f>
      </c>
      <c r="X32" s="4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 s="4">
        <f>IF(AND(COUNT(P2,P9)=2, P2&lt;&gt;0), P9/P2, " ")</f>
      </c>
      <c r="Q33" s="4">
        <f>IF(AND(COUNT(Q2,Q9)=2, Q2&lt;&gt;0), Q9/Q2, " ")</f>
      </c>
      <c r="R33" s="4">
        <f>IF(AND(COUNT(R2,R9)=2, R2&lt;&gt;0), R9/R2, " ")</f>
      </c>
      <c r="S33" s="4">
        <f>IF(AND(COUNT(S2,S9)=2, S2&lt;&gt;0), S9/S2, " ")</f>
      </c>
      <c r="T33" s="4">
        <f>IF(AND(COUNT(T2,T9)=2, T2&lt;&gt;0), T9/T2, " ")</f>
      </c>
      <c r="U33" s="4">
        <f>IF(AND(COUNT(U2,U9)=2, U2&lt;&gt;0), U9/U2, " ")</f>
      </c>
      <c r="V33" s="4">
        <f>IF(AND(COUNT(V2,V9)=2, V2&lt;&gt;0), V9/V2, " ")</f>
      </c>
      <c r="W33" s="4">
        <f>IF(AND(COUNT(W2,W9)=2, W2&lt;&gt;0), W9/W2, " ")</f>
      </c>
      <c r="X33" s="4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 s="4">
        <f>IF(AND(COUNT(P15,P15)=2, P15&lt;&gt;0), P16/P15, " ")</f>
      </c>
      <c r="Q34" s="4">
        <f>IF(AND(COUNT(Q15,Q15)=2, Q15&lt;&gt;0), Q16/Q15, " ")</f>
      </c>
      <c r="R34" s="4">
        <f>IF(AND(COUNT(R15,R15)=2, R15&lt;&gt;0), R16/R15, " ")</f>
      </c>
      <c r="S34" s="4">
        <f>IF(AND(COUNT(S15,S15)=2, S15&lt;&gt;0), S16/S15, " ")</f>
      </c>
      <c r="T34" s="4">
        <f>IF(AND(COUNT(T15,T15)=2, T15&lt;&gt;0), T16/T15, " ")</f>
      </c>
      <c r="U34" s="4">
        <f>IF(AND(COUNT(U15,U15)=2, U15&lt;&gt;0), U16/U15, " ")</f>
      </c>
      <c r="V34" s="4">
        <f>IF(AND(COUNT(V15,V15)=2, V15&lt;&gt;0), V16/V15, " ")</f>
      </c>
      <c r="W34" s="4">
        <f>IF(AND(COUNT(W15,W15)=2, W15&lt;&gt;0), W16/W15, " ")</f>
      </c>
      <c r="X34" s="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 s="4">
        <f>IF(AND(COUNT(P22,P2)=2, P2&lt;&gt;0), P22/P2, " ")</f>
      </c>
      <c r="Q35" s="4">
        <f>IF(AND(COUNT(Q22,Q2)=2, Q2&lt;&gt;0), Q22/Q2, " ")</f>
      </c>
      <c r="R35" s="4">
        <f>IF(AND(COUNT(R22,R2)=2, R2&lt;&gt;0), R22/R2, " ")</f>
      </c>
      <c r="S35" s="4">
        <f>IF(AND(COUNT(S22,S2)=2, S2&lt;&gt;0), S22/S2, " ")</f>
      </c>
      <c r="T35" s="4">
        <f>IF(AND(COUNT(T22,T2)=2, T2&lt;&gt;0), T22/T2, " ")</f>
      </c>
      <c r="U35" s="4">
        <f>IF(AND(COUNT(U22,U2)=2, U2&lt;&gt;0), U22/U2, " ")</f>
      </c>
      <c r="V35" s="4">
        <f>IF(AND(COUNT(V22,V2)=2, V2&lt;&gt;0), V22/V2, " ")</f>
      </c>
      <c r="W35" s="4">
        <f>IF(AND(COUNT(W22,W2)=2, W2&lt;&gt;0), W22/W2, " ")</f>
      </c>
      <c r="X35" s="4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 s="4">
        <f>IF(AND(COUNT(O29,P29)=2, P29&lt;&gt;0, O2&lt;&gt;0), P27/O29-1, " ")</f>
      </c>
      <c r="Q36" s="4">
        <f>IF(AND(COUNT(P29,Q29)=2, Q29&lt;&gt;0, P2&lt;&gt;0), Q27/P29-1, " ")</f>
      </c>
      <c r="R36" s="4">
        <f>IF(AND(COUNT(Q29,R29)=2, R29&lt;&gt;0, Q2&lt;&gt;0), R27/Q29-1, " ")</f>
      </c>
      <c r="S36" s="4">
        <f>IF(AND(COUNT(R29,S29)=2, S29&lt;&gt;0, R2&lt;&gt;0), S27/R29-1, " ")</f>
      </c>
      <c r="T36" s="4">
        <f>IF(AND(COUNT(S29,T29)=2, T29&lt;&gt;0, S2&lt;&gt;0), T27/S29-1, " ")</f>
      </c>
      <c r="U36" s="4">
        <f>IF(AND(COUNT(T29,U29)=2, U29&lt;&gt;0, T2&lt;&gt;0), U27/T29-1, " ")</f>
      </c>
      <c r="V36" s="4">
        <f>IF(AND(COUNT(U29,V29)=2, V29&lt;&gt;0, U2&lt;&gt;0), V27/U29-1, " ")</f>
      </c>
      <c r="W36" s="4">
        <f>IF(AND(COUNT(V29,W29)=2, W29&lt;&gt;0, V2&lt;&gt;0), W27/V29-1, " ")</f>
      </c>
      <c r="X36" s="4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24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</row>
    <row r="38" spans="1:24" x14ac:dyDescent="0.25">
      <c r="A38" s="2" t="s">
        <v>34</v>
      </c>
      <c r="B38" s="3">
        <v>0</v>
      </c>
      <c r="C38" s="3">
        <v>0</v>
      </c>
      <c r="D38" s="3">
        <v>0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</row>
    <row r="39" spans="1:24" x14ac:dyDescent="0.25">
      <c r="A39" s="2" t="s">
        <v>35</v>
      </c>
      <c r="B39" s="3">
        <v>2426</v>
      </c>
      <c r="C39" s="3">
        <v>5901</v>
      </c>
      <c r="D39" s="3">
        <v>170889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</row>
    <row r="40" spans="1:24" x14ac:dyDescent="0.25">
      <c r="A40" s="2" t="s">
        <v>36</v>
      </c>
      <c r="B40" s="3">
        <v>47875</v>
      </c>
      <c r="C40" s="3">
        <v>76634</v>
      </c>
      <c r="D40" s="3">
        <v>738960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</row>
    <row r="41" spans="1:24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2023-12-24T11:01:18Z</cp:lastPrinted>
  <dcterms:created xsi:type="dcterms:W3CDTF">2023-12-24T11:01:18Z</dcterms:created>
  <dcterms:modified xsi:type="dcterms:W3CDTF">2023-12-24T11:01:18Z</dcterms:modified>
</cp:coreProperties>
</file>