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<sst xmlns="http://schemas.openxmlformats.org/spreadsheetml/2006/main" count="74" uniqueCount="71">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</sst>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304937</v>
      </c>
      <c r="C2" s="3">
        <v>247903</v>
      </c>
      <c r="D2" s="3">
        <v>241988</v>
      </c>
      <c r="E2" s="3">
        <v>421679</v>
      </c>
      <c r="F2" s="3">
        <v>357213</v>
      </c>
      <c r="G2" s="3">
        <v>421324</v>
      </c>
      <c r="H2" s="3">
        <v>458949</v>
      </c>
      <c r="I2" s="3">
        <v>342843</v>
      </c>
      <c r="J2" s="3">
        <v>351551</v>
      </c>
      <c r="K2" s="3">
        <v>413641</v>
      </c>
      <c r="L2" s="3">
        <v>559623</v>
      </c>
      <c r="M2" s="3">
        <v>330303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92056</v>
      </c>
      <c r="C3" s="3">
        <v>89630</v>
      </c>
      <c r="D3" s="3">
        <v>125656</v>
      </c>
      <c r="E3" s="3">
        <v>198482</v>
      </c>
      <c r="F3" s="3">
        <v>143568</v>
      </c>
      <c r="G3" s="3">
        <v>173121</v>
      </c>
      <c r="H3" s="3">
        <v>255078</v>
      </c>
      <c r="I3" s="3">
        <v>228190</v>
      </c>
      <c r="J3" s="3">
        <v>180868</v>
      </c>
      <c r="K3" s="3">
        <v>146723</v>
      </c>
      <c r="L3" s="3">
        <v>156183</v>
      </c>
      <c r="M3" s="3">
        <v>271718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21094</v>
      </c>
      <c r="C6" s="3">
        <v>25413</v>
      </c>
      <c r="D6" s="3">
        <v>27248</v>
      </c>
      <c r="E6" s="3">
        <v>40192</v>
      </c>
      <c r="F6" s="3">
        <v>39593</v>
      </c>
      <c r="G6" s="3">
        <v>41033</v>
      </c>
      <c r="H6" s="3">
        <v>33674</v>
      </c>
      <c r="I6" s="3">
        <v>30077</v>
      </c>
      <c r="J6" s="3">
        <v>30671</v>
      </c>
      <c r="K6" s="3">
        <v>31185</v>
      </c>
      <c r="L6" s="3">
        <v>35304</v>
      </c>
      <c r="M6" s="3">
        <v>30902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2598</v>
      </c>
      <c r="C10" s="3">
        <v>2861</v>
      </c>
      <c r="D10" s="3">
        <v>1154</v>
      </c>
      <c r="E10" s="3">
        <v>1634</v>
      </c>
      <c r="F10" s="3">
        <v>1930</v>
      </c>
      <c r="G10" s="3">
        <v>662</v>
      </c>
      <c r="H10" s="3">
        <v>2289</v>
      </c>
      <c r="I10" s="3">
        <v>1666</v>
      </c>
      <c r="J10" s="3">
        <v>1204</v>
      </c>
      <c r="K10" s="3">
        <v>4712</v>
      </c>
      <c r="L10" s="3">
        <v>12684</v>
      </c>
      <c r="M10" s="3">
        <v>4052</v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80925</v>
      </c>
      <c r="C11" s="3">
        <v>75748</v>
      </c>
      <c r="D11" s="3">
        <v>90547</v>
      </c>
      <c r="E11" s="3">
        <v>142491</v>
      </c>
      <c r="F11" s="3">
        <v>120399</v>
      </c>
      <c r="G11" s="3">
        <v>142519</v>
      </c>
      <c r="H11" s="3">
        <v>145448</v>
      </c>
      <c r="I11" s="3">
        <v>123161</v>
      </c>
      <c r="J11" s="3">
        <v>127782</v>
      </c>
      <c r="K11" s="3">
        <v>144742</v>
      </c>
      <c r="L11" s="3">
        <v>137133</v>
      </c>
      <c r="M11" s="3">
        <v>103292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-78327</v>
      </c>
      <c r="C12" s="3">
        <v>-72887</v>
      </c>
      <c r="D12" s="3">
        <v>-89393</v>
      </c>
      <c r="E12" s="3">
        <v>-140857</v>
      </c>
      <c r="F12" s="3">
        <v>-118469</v>
      </c>
      <c r="G12" s="3">
        <v>-141857</v>
      </c>
      <c r="H12" s="3">
        <v>-143159</v>
      </c>
      <c r="I12" s="3">
        <v>-121495</v>
      </c>
      <c r="J12" s="3">
        <v>-126578</v>
      </c>
      <c r="K12" s="3">
        <v>-140030</v>
      </c>
      <c r="L12" s="3">
        <v>-124449</v>
      </c>
      <c r="M12" s="3">
        <v>-99240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v>0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 s="3">
        <f>Z12+Z13</f>
      </c>
    </row>
    <row r="15" spans="1:2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 s="3">
        <f>Z9+Z14-Z15</f>
      </c>
    </row>
    <row r="17" spans="1:26" x14ac:dyDescent="0.25">
      <c r="A17" s="2" t="s">
        <v>16</v>
      </c>
      <c r="B17" s="3">
        <v>24367</v>
      </c>
      <c r="C17" s="3">
        <v>10207</v>
      </c>
      <c r="D17" s="3">
        <v>4242</v>
      </c>
      <c r="E17" s="3">
        <v>3862</v>
      </c>
      <c r="F17" s="3">
        <v>3134</v>
      </c>
      <c r="G17" s="3">
        <v>8691</v>
      </c>
      <c r="H17" s="3">
        <v>5399</v>
      </c>
      <c r="I17" s="3">
        <v>-7277</v>
      </c>
      <c r="J17" s="3">
        <v>11332</v>
      </c>
      <c r="K17" s="3">
        <v>9926</v>
      </c>
      <c r="L17" s="3">
        <v>20527</v>
      </c>
      <c r="M17" s="3">
        <v>-4132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v>0</v>
      </c>
      <c r="C20" s="3">
        <v>2901</v>
      </c>
      <c r="D20" s="3">
        <v>5647</v>
      </c>
      <c r="E20" s="3">
        <v>9383</v>
      </c>
      <c r="F20" s="3">
        <v>1491</v>
      </c>
      <c r="G20" s="3">
        <v>3562</v>
      </c>
      <c r="H20" s="3">
        <v>1159</v>
      </c>
      <c r="I20" s="3">
        <v>530</v>
      </c>
      <c r="J20" s="3">
        <v>496</v>
      </c>
      <c r="K20" s="3">
        <v>-54</v>
      </c>
      <c r="L20" s="3">
        <v>2717</v>
      </c>
      <c r="M20" s="3">
        <v>0</v>
      </c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 s="3">
        <f>Z16-Z17+Z18-Z19+Z20+Z21</f>
      </c>
    </row>
    <row r="23" spans="1:2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83650</v>
      </c>
      <c r="C24" s="3">
        <v>84032</v>
      </c>
      <c r="D24" s="3">
        <v>95718</v>
      </c>
      <c r="E24" s="3">
        <v>136633</v>
      </c>
      <c r="F24" s="3">
        <v>138336</v>
      </c>
      <c r="G24" s="3">
        <v>166983</v>
      </c>
      <c r="H24" s="3">
        <v>159732</v>
      </c>
      <c r="I24" s="3">
        <v>120452</v>
      </c>
      <c r="J24" s="3">
        <v>133227</v>
      </c>
      <c r="K24" s="3">
        <v>144084</v>
      </c>
      <c r="L24" s="3">
        <v>140798</v>
      </c>
      <c r="M24" s="3">
        <v>129561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v>0</v>
      </c>
      <c r="C25" s="3">
        <v>3720</v>
      </c>
      <c r="D25" s="3">
        <v>4768</v>
      </c>
      <c r="E25" s="3">
        <v>3635</v>
      </c>
      <c r="F25" s="3">
        <v>3177</v>
      </c>
      <c r="G25" s="3">
        <v>30</v>
      </c>
      <c r="H25" s="3">
        <v>195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2" t="s">
        <v>24</v>
      </c>
      <c r="B26" s="3">
        <v>-34374</v>
      </c>
      <c r="C26" s="3">
        <v>-25194</v>
      </c>
      <c r="D26" s="3">
        <v>8695</v>
      </c>
      <c r="E26" s="3">
        <v>-7555</v>
      </c>
      <c r="F26" s="3">
        <v>-13979</v>
      </c>
      <c r="G26" s="3">
        <v>-32</v>
      </c>
      <c r="H26" s="3">
        <v>35821</v>
      </c>
      <c r="I26" s="3">
        <v>61424</v>
      </c>
      <c r="J26" s="3">
        <v>43228</v>
      </c>
      <c r="K26" s="3">
        <v>11273</v>
      </c>
      <c r="L26" s="3">
        <v>-94505</v>
      </c>
      <c r="M26" s="3">
        <v>48034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 s="3">
        <f>Z22+Z24+Z25+Z26</f>
      </c>
    </row>
    <row r="28" spans="1:26" x14ac:dyDescent="0.25">
      <c r="A28" s="2" t="s">
        <v>26</v>
      </c>
      <c r="B28" s="3">
        <v>7107</v>
      </c>
      <c r="C28" s="3">
        <v>-47350</v>
      </c>
      <c r="D28" s="3">
        <v>-62370</v>
      </c>
      <c r="E28" s="3">
        <v>-56080</v>
      </c>
      <c r="F28" s="3">
        <v>0</v>
      </c>
      <c r="G28" s="3">
        <v>0</v>
      </c>
      <c r="H28" s="3">
        <v>-480537</v>
      </c>
      <c r="I28" s="3">
        <v>123271</v>
      </c>
      <c r="J28" s="3">
        <v>430413</v>
      </c>
      <c r="K28" s="3">
        <v>858356</v>
      </c>
      <c r="L28" s="3">
        <v>-483445</v>
      </c>
      <c r="M28" s="3">
        <v>-94331</v>
      </c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 s="3">
        <f>Z27-Z28</f>
      </c>
    </row>
    <row r="30" spans="1:2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 s="4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 s="4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 s="4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 s="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 s="4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 s="4">
        <f>IF(AND(COUNT(Y29,Z29)=2, Z29&lt;&gt;0, Y2&lt;&gt;0), Z27/Y29-1, " ")</f>
      </c>
    </row>
    <row r="37" spans="1:2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v>0</v>
      </c>
      <c r="C39" s="3">
        <v>1978224</v>
      </c>
      <c r="D39" s="3">
        <v>3198498</v>
      </c>
      <c r="E39" s="3">
        <v>2968672</v>
      </c>
      <c r="F39" s="3">
        <v>3672359</v>
      </c>
      <c r="G39" s="3">
        <v>4218408</v>
      </c>
      <c r="H39" s="3">
        <v>3424480</v>
      </c>
      <c r="I39" s="3">
        <v>3447009</v>
      </c>
      <c r="J39" s="3">
        <v>3595615</v>
      </c>
      <c r="K39" s="3">
        <v>4226472</v>
      </c>
      <c r="L39" s="3">
        <v>3665159</v>
      </c>
      <c r="M39" s="3">
        <v>3167585</v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2" t="s">
        <v>36</v>
      </c>
      <c r="B40" s="3">
        <v>-484524</v>
      </c>
      <c r="C40" s="3">
        <v>1503320</v>
      </c>
      <c r="D40" s="3">
        <v>2755465</v>
      </c>
      <c r="E40" s="3">
        <v>2444861</v>
      </c>
      <c r="F40" s="3">
        <v>2930263</v>
      </c>
      <c r="G40" s="3">
        <v>3462154</v>
      </c>
      <c r="H40" s="3">
        <v>2767516</v>
      </c>
      <c r="I40" s="3">
        <v>2853774</v>
      </c>
      <c r="J40" s="3">
        <v>3051906</v>
      </c>
      <c r="K40" s="3">
        <v>3524362</v>
      </c>
      <c r="L40" s="3">
        <v>2786882</v>
      </c>
      <c r="M40" s="3">
        <v>2378589</v>
      </c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>
        <f>I39-I40</f>
      </c>
      <c r="J41" s="3">
        <f>J39-J40</f>
      </c>
      <c r="K41" s="3">
        <f>K39-K40</f>
      </c>
      <c r="L41" s="3">
        <f>L39-L40</f>
      </c>
      <c r="M41" s="3">
        <f>M39-M40</f>
      </c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2023-12-24T11:01:13Z</cp:lastPrinted>
  <dcterms:created xsi:type="dcterms:W3CDTF">2023-12-24T11:01:13Z</dcterms:created>
  <dcterms:modified xsi:type="dcterms:W3CDTF">2023-12-24T11:01:13Z</dcterms:modified>
</cp:coreProperties>
</file>