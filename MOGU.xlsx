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<sst xmlns="http://schemas.openxmlformats.org/spreadsheetml/2006/main" count="72" uniqueCount="68">
  <si>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</si>
  <si>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</si>
  <si>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</si>
  <si>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</si>
  <si>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</si>
  <si>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</si>
  <si>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</si>
  <si>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</si>
  <si>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</si>
  <si>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</si>
  <si>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</si>
  <si>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</si>
  <si>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</si>
  <si>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</si>
  <si>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</si>
  <si>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</si>
  <si>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</si>
  <si>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</si>
  <si>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</si>
  <si>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</si>
  <si>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</si>
  <si>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</si>
  <si>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</si>
  <si>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</si>
  <si>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</si>
  <si>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</si>
  <si>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</si>
  <si>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</si>
  <si>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</si>
  <si>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</si>
  <si>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</si>
  <si>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</si>
  <si>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</si>
  <si>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</si>
  <si>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</si>
  <si>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</si>
  <si>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</si>
  <si>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</si>
  <si>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</si>
  <si>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</si>
  <si>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</si>
  <si>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</si>
  <si>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</si>
  <si>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</si>
  <si>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</si>
  <si>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https://finance.yahoo.com/quote/MOGU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</si>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</sst>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G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GU" TargetMode="External"/><Relationship Id="rId5" Type="http://schemas.openxmlformats.org/officeDocument/2006/relationships/hyperlink" Target="https://finance.yahoo.com/quote/MOG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160072000</v>
      </c>
      <c r="C2" s="3">
        <v>117969000</v>
      </c>
      <c r="D2" s="3">
        <v>73627000</v>
      </c>
      <c r="E2" s="3">
        <v>53236000</v>
      </c>
      <c r="F2" s="3">
        <v>33793000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46756000</v>
      </c>
      <c r="C3" s="3">
        <v>41486000</v>
      </c>
      <c r="D3" s="3">
        <v>27948000</v>
      </c>
      <c r="E3" s="3">
        <v>25176000</v>
      </c>
      <c r="F3" s="3">
        <v>16583000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35232000</v>
      </c>
      <c r="C5" s="3">
        <v>24169000</v>
      </c>
      <c r="D5" s="3">
        <v>15793000</v>
      </c>
      <c r="E5" s="3">
        <v>13036000</v>
      </c>
      <c r="F5" s="3">
        <v>5398000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135909000</v>
      </c>
      <c r="C6" s="3">
        <v>104697000</v>
      </c>
      <c r="D6" s="3">
        <v>50798000</v>
      </c>
      <c r="E6" s="3">
        <v>35901000</v>
      </c>
      <c r="F6" s="3">
        <v>19097000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27732000</v>
      </c>
      <c r="C7" s="3">
        <v>240365000</v>
      </c>
      <c r="D7" s="3">
        <v>44555000</v>
      </c>
      <c r="E7" s="3">
        <v>84886000</v>
      </c>
      <c r="F7" s="3">
        <v>20010000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5021000</v>
      </c>
      <c r="C10" s="3">
        <v>4140000</v>
      </c>
      <c r="D10" s="3">
        <v>2992000</v>
      </c>
      <c r="E10" s="3">
        <v>2193000</v>
      </c>
      <c r="F10" s="3">
        <v>2532000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87000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4654000</v>
      </c>
      <c r="C12" s="3">
        <v>-9399000</v>
      </c>
      <c r="D12" s="3">
        <v>13202000</v>
      </c>
      <c r="E12" s="3">
        <v>37000</v>
      </c>
      <c r="F12" s="3">
        <v>-2711000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-2565000</v>
      </c>
      <c r="C16" s="3">
        <v>-83000</v>
      </c>
      <c r="D16" s="3">
        <v>791000</v>
      </c>
      <c r="E16" s="3">
        <v>-2289000</v>
      </c>
      <c r="F16" s="3">
        <v>-288000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-406000</v>
      </c>
      <c r="F18" s="3">
        <v>-1226000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857000</v>
      </c>
      <c r="C19" s="3">
        <v>-16115000</v>
      </c>
      <c r="D19" s="3">
        <v>5000</v>
      </c>
      <c r="E19" s="3">
        <v>-85000</v>
      </c>
      <c r="F19" s="3">
        <v>129000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30752000</v>
      </c>
      <c r="C22" s="3">
        <v>47801000</v>
      </c>
      <c r="D22" s="3">
        <v>53593000</v>
      </c>
      <c r="E22" s="3">
        <v>52616000</v>
      </c>
      <c r="F22" s="3">
        <v>9509000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15358000</v>
      </c>
      <c r="C23" s="3">
        <v>4545000</v>
      </c>
      <c r="D23" s="3">
        <v>4013000</v>
      </c>
      <c r="E23" s="3">
        <v>1965000</v>
      </c>
      <c r="F23" s="3">
        <v>1976000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-22197000</v>
      </c>
      <c r="C24" s="3">
        <v>217660000</v>
      </c>
      <c r="D24" s="3">
        <v>-19442000</v>
      </c>
      <c r="E24" s="3">
        <v>28294000</v>
      </c>
      <c r="F24" s="3">
        <v>12964000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1289000</v>
      </c>
      <c r="C26" s="3">
        <v>1472000</v>
      </c>
      <c r="D26" s="3">
        <v>23299000</v>
      </c>
      <c r="E26" s="3">
        <v>8698000</v>
      </c>
      <c r="F26" s="3">
        <v>2761000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