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<sst xmlns="http://schemas.openxmlformats.org/spreadsheetml/2006/main" count="72" uniqueCount="68">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</sst>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TT" TargetMode="External"/><Relationship Id="rId5" Type="http://schemas.openxmlformats.org/officeDocument/2006/relationships/hyperlink" Target="https://finance.yahoo.com/quote/TA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73739000</v>
      </c>
      <c r="C2" s="3">
        <v>77915000</v>
      </c>
      <c r="D2" s="3">
        <v>79551000</v>
      </c>
      <c r="E2" s="3">
        <v>80726000</v>
      </c>
      <c r="F2" s="3">
        <v>85607000</v>
      </c>
      <c r="G2" s="3">
        <v>87721000</v>
      </c>
      <c r="H2" s="3">
        <v>97479000</v>
      </c>
      <c r="I2" s="3">
        <v>75359000</v>
      </c>
      <c r="J2" s="3">
        <v>77973000</v>
      </c>
      <c r="K2" s="3">
        <v>84556000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62173000</v>
      </c>
      <c r="C3" s="3">
        <v>58539000</v>
      </c>
      <c r="D3" s="3">
        <v>61743000</v>
      </c>
      <c r="E3" s="3">
        <v>64522000</v>
      </c>
      <c r="F3" s="3">
        <v>71942000</v>
      </c>
      <c r="G3" s="3">
        <v>79776000</v>
      </c>
      <c r="H3" s="3">
        <v>82179000</v>
      </c>
      <c r="I3" s="3">
        <v>66924000</v>
      </c>
      <c r="J3" s="3">
        <v>66703000</v>
      </c>
      <c r="K3" s="3">
        <v>68628000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455000</v>
      </c>
      <c r="C5" s="3">
        <v>995000</v>
      </c>
      <c r="D5" s="3">
        <v>713000</v>
      </c>
      <c r="E5" s="3">
        <v>1070000</v>
      </c>
      <c r="F5" s="3">
        <v>890000</v>
      </c>
      <c r="G5" s="3">
        <v>458000</v>
      </c>
      <c r="H5" s="3">
        <v>113000</v>
      </c>
      <c r="I5" s="3">
        <v>185000</v>
      </c>
      <c r="J5" s="3">
        <v>517000</v>
      </c>
      <c r="K5" s="3">
        <v>479000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12269000</v>
      </c>
      <c r="C6" s="3">
        <v>13009000</v>
      </c>
      <c r="D6" s="3">
        <v>11818000</v>
      </c>
      <c r="E6" s="3">
        <v>11326000</v>
      </c>
      <c r="F6" s="3">
        <v>11372000</v>
      </c>
      <c r="G6" s="3">
        <v>12655000</v>
      </c>
      <c r="H6" s="3">
        <v>12583000</v>
      </c>
      <c r="I6" s="3">
        <v>11981000</v>
      </c>
      <c r="J6" s="3">
        <v>13501000</v>
      </c>
      <c r="K6" s="3">
        <v>15599000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-190000</v>
      </c>
      <c r="C7" s="3">
        <v>-13000</v>
      </c>
      <c r="D7" s="3">
        <v>-20000</v>
      </c>
      <c r="E7" s="3">
        <v>-11000</v>
      </c>
      <c r="F7" s="3">
        <v>-4202000</v>
      </c>
      <c r="G7" s="3">
        <v>-4000</v>
      </c>
      <c r="H7" s="3">
        <v>0</v>
      </c>
      <c r="I7" s="3">
        <v>315000</v>
      </c>
      <c r="J7" s="3">
        <v>1287000</v>
      </c>
      <c r="K7" s="3">
        <v>1625000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172000</v>
      </c>
      <c r="C10" s="3">
        <v>242000</v>
      </c>
      <c r="D10" s="3">
        <v>114000</v>
      </c>
      <c r="E10" s="3">
        <v>91000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-352000</v>
      </c>
      <c r="C12" s="3">
        <v>-348000</v>
      </c>
      <c r="D12" s="3">
        <v>-164000</v>
      </c>
      <c r="E12" s="3">
        <v>-1385000</v>
      </c>
      <c r="F12" s="3">
        <v>-349000</v>
      </c>
      <c r="G12" s="3">
        <v>-88000</v>
      </c>
      <c r="H12" s="3">
        <v>-422000</v>
      </c>
      <c r="I12" s="3">
        <v>-770000</v>
      </c>
      <c r="J12" s="3">
        <v>-540000</v>
      </c>
      <c r="K12" s="3">
        <v>127000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-335000</v>
      </c>
      <c r="C16" s="3">
        <v>2090000</v>
      </c>
      <c r="D16" s="3">
        <v>1041000</v>
      </c>
      <c r="E16" s="3">
        <v>1360000</v>
      </c>
      <c r="F16" s="3">
        <v>644000</v>
      </c>
      <c r="G16" s="3">
        <v>-1464000</v>
      </c>
      <c r="H16" s="3">
        <v>589000</v>
      </c>
      <c r="I16" s="3">
        <v>-1517000</v>
      </c>
      <c r="J16" s="3">
        <v>-662000</v>
      </c>
      <c r="K16" s="3">
        <v>98000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-548000</v>
      </c>
      <c r="C17" s="3">
        <v>-1147000</v>
      </c>
      <c r="D17" s="3">
        <v>-2429000</v>
      </c>
      <c r="E17" s="3">
        <v>0</v>
      </c>
      <c r="F17" s="3">
        <v>0</v>
      </c>
      <c r="G17" s="3">
        <v>-480000</v>
      </c>
      <c r="H17" s="3">
        <v>-655000</v>
      </c>
      <c r="I17" s="3">
        <v>-1845000</v>
      </c>
      <c r="J17" s="3">
        <v>427000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331000</v>
      </c>
      <c r="C19" s="3">
        <v>-3756000</v>
      </c>
      <c r="D19" s="3">
        <v>1025000</v>
      </c>
      <c r="E19" s="3">
        <v>267000</v>
      </c>
      <c r="F19" s="3">
        <v>1237000</v>
      </c>
      <c r="G19" s="3">
        <v>-140000</v>
      </c>
      <c r="H19" s="3">
        <v>-132000</v>
      </c>
      <c r="I19" s="3">
        <v>-185000</v>
      </c>
      <c r="J19" s="3">
        <v>-76000</v>
      </c>
      <c r="K19" s="3">
        <v>184000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2618000</v>
      </c>
      <c r="C22" s="3">
        <v>1906000</v>
      </c>
      <c r="D22" s="3">
        <v>1859000</v>
      </c>
      <c r="E22" s="3">
        <v>2069000</v>
      </c>
      <c r="F22" s="3">
        <v>2781000</v>
      </c>
      <c r="G22" s="3">
        <v>4065000</v>
      </c>
      <c r="H22" s="3">
        <v>4292000</v>
      </c>
      <c r="I22" s="3">
        <v>4065000</v>
      </c>
      <c r="J22" s="3">
        <v>4881000</v>
      </c>
      <c r="K22" s="3">
        <v>3706000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-37000</v>
      </c>
      <c r="C23" s="3">
        <v>8000</v>
      </c>
      <c r="D23" s="3">
        <v>3000</v>
      </c>
      <c r="E23" s="3">
        <v>38000</v>
      </c>
      <c r="F23" s="3">
        <v>38000</v>
      </c>
      <c r="G23" s="3">
        <v>272000</v>
      </c>
      <c r="H23" s="3">
        <v>38000</v>
      </c>
      <c r="I23" s="3">
        <v>138000</v>
      </c>
      <c r="J23" s="3">
        <v>160000</v>
      </c>
      <c r="K23" s="3">
        <v>218000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-1551000</v>
      </c>
      <c r="C24" s="3">
        <v>-200000</v>
      </c>
      <c r="D24" s="3">
        <v>-4664000</v>
      </c>
      <c r="E24" s="3">
        <v>-3539000</v>
      </c>
      <c r="F24" s="3">
        <v>-7935000</v>
      </c>
      <c r="G24" s="3">
        <v>2226000</v>
      </c>
      <c r="H24" s="3">
        <v>-1543000</v>
      </c>
      <c r="I24" s="3">
        <v>7073000</v>
      </c>
      <c r="J24" s="3">
        <v>-1479000</v>
      </c>
      <c r="K24" s="3">
        <v>-2362000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2953000</v>
      </c>
      <c r="C26" s="3">
        <v>2147000</v>
      </c>
      <c r="D26" s="3">
        <v>2240000</v>
      </c>
      <c r="E26" s="3">
        <v>3021000</v>
      </c>
      <c r="F26" s="3">
        <v>3315000</v>
      </c>
      <c r="G26" s="3">
        <v>4270000</v>
      </c>
      <c r="H26" s="3">
        <v>3269000</v>
      </c>
      <c r="I26" s="3">
        <v>3894000</v>
      </c>
      <c r="J26" s="3">
        <v>16247000</v>
      </c>
      <c r="K26" s="3">
        <v>16213000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I37-I38</f>
      </c>
      <c r="H39" s="3">
        <f>J37-J38</f>
      </c>
      <c r="I39" s="3">
        <f>K37-K38</f>
      </c>
      <c r="J39" s="3">
        <f>L37-L38</f>
      </c>
      <c r="K39" s="3">
        <f>M37-M38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