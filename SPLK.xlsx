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<sst xmlns="http://schemas.openxmlformats.org/spreadsheetml/2006/main" count="72" uniqueCount="69">
  <si>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</si>
  <si>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</si>
  <si>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</si>
  <si>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</si>
  <si>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</si>
  <si>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</si>
  <si>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</si>
  <si>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</si>
  <si>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</si>
  <si>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</si>
  <si>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</si>
  <si>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</si>
  <si>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</si>
  <si>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</si>
  <si>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</si>
  <si>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</si>
  <si>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</si>
  <si>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</si>
  <si>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</si>
  <si>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</si>
  <si>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</si>
  <si>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</si>
  <si>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</si>
  <si>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</si>
  <si>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</si>
  <si>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</si>
  <si>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</si>
  <si>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</si>
  <si>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</si>
  <si>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</si>
  <si>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</si>
  <si>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</si>
  <si>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</si>
  <si>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</si>
  <si>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</si>
  <si>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</si>
  <si>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</si>
  <si>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</si>
  <si>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</si>
  <si>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</si>
  <si>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</si>
  <si>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</si>
  <si>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</si>
  <si>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</si>
  <si>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</si>
  <si>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</si>
  <si>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https://finance.yahoo.com/quote/SPLK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</si>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</sst>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SPLK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SPLK" TargetMode="External"/><Relationship Id="rId5" Type="http://schemas.openxmlformats.org/officeDocument/2006/relationships/hyperlink" Target="https://finance.yahoo.com/quote/SPLK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4" x14ac:dyDescent="0.25">
      <c r="A1" s="1" t="s">
        <v>0</v>
      </c>
      <c r="B1" s="2">
        <v>2011</v>
      </c>
      <c r="C1" s="2">
        <v>2012</v>
      </c>
      <c r="D1" s="2">
        <v>2013</v>
      </c>
      <c r="E1" s="2">
        <v>2014</v>
      </c>
      <c r="F1" s="2">
        <v>2015</v>
      </c>
      <c r="G1" s="2">
        <v>2016</v>
      </c>
      <c r="H1" s="2">
        <v>2017</v>
      </c>
      <c r="I1" s="2">
        <v>2018</v>
      </c>
      <c r="J1" s="2">
        <v>2019</v>
      </c>
      <c r="K1" s="2">
        <v>2020</v>
      </c>
      <c r="L1" s="2">
        <v>2021</v>
      </c>
      <c r="M1" s="2">
        <v>2022</v>
      </c>
      <c r="N1" s="2">
        <v>2023</v>
      </c>
      <c r="O1" s="2">
        <v>2024</v>
      </c>
      <c r="P1" s="2">
        <v>2025</v>
      </c>
      <c r="Q1" s="2">
        <v>2026</v>
      </c>
      <c r="R1" s="2">
        <v>2027</v>
      </c>
      <c r="S1" s="2">
        <v>2028</v>
      </c>
      <c r="T1" s="2">
        <v>2029</v>
      </c>
      <c r="U1" s="2">
        <v>2030</v>
      </c>
      <c r="V1" s="2">
        <v>2031</v>
      </c>
      <c r="W1" s="2">
        <v>2032</v>
      </c>
      <c r="X1" s="2">
        <v>2033</v>
      </c>
    </row>
    <row r="2" spans="1:24" x14ac:dyDescent="0.25">
      <c r="A2" s="2" t="s">
        <v>1</v>
      </c>
      <c r="B2" s="3">
        <v>66245</v>
      </c>
      <c r="C2" s="3">
        <v>120960</v>
      </c>
      <c r="D2" s="3">
        <v>198944</v>
      </c>
      <c r="E2" s="3">
        <v>302623</v>
      </c>
      <c r="F2" s="3">
        <v>450875</v>
      </c>
      <c r="G2" s="3">
        <v>668435</v>
      </c>
      <c r="H2" s="3">
        <v>943564</v>
      </c>
      <c r="I2" s="3">
        <v>1309132</v>
      </c>
      <c r="J2" s="3">
        <v>1803010</v>
      </c>
      <c r="K2" s="3">
        <v>2358926</v>
      </c>
      <c r="L2" s="3">
        <v>2229385</v>
      </c>
      <c r="M2" s="3">
        <v>2673664</v>
      </c>
      <c r="N2" s="3">
        <v>3653708</v>
      </c>
      <c r="O2" s="3"/>
      <c r="P2" s="3"/>
      <c r="Q2" s="3"/>
      <c r="R2" s="3"/>
      <c r="S2" s="3"/>
      <c r="T2" s="3"/>
      <c r="U2" s="3"/>
      <c r="V2" s="3"/>
      <c r="W2" s="3"/>
      <c r="X2" s="3"/>
    </row>
    <row r="3" spans="1:24" x14ac:dyDescent="0.25">
      <c r="A3" s="2" t="s">
        <v>2</v>
      </c>
      <c r="B3" s="3">
        <v>6656</v>
      </c>
      <c r="C3" s="3">
        <v>11605</v>
      </c>
      <c r="D3" s="3">
        <v>21424</v>
      </c>
      <c r="E3" s="3">
        <v>35825</v>
      </c>
      <c r="F3" s="3">
        <v>68378</v>
      </c>
      <c r="G3" s="3">
        <v>114122</v>
      </c>
      <c r="H3" s="3">
        <v>191053</v>
      </c>
      <c r="I3" s="3">
        <v>256409</v>
      </c>
      <c r="J3" s="3">
        <v>344676</v>
      </c>
      <c r="K3" s="3">
        <v>429788</v>
      </c>
      <c r="L3" s="3">
        <v>547345</v>
      </c>
      <c r="M3" s="3">
        <v>733969</v>
      </c>
      <c r="N3" s="3">
        <v>815995</v>
      </c>
      <c r="O3" s="3"/>
      <c r="P3" s="3"/>
      <c r="Q3" s="3"/>
      <c r="R3" s="3"/>
      <c r="S3" s="3"/>
      <c r="T3" s="3"/>
      <c r="U3" s="3"/>
      <c r="V3" s="3"/>
      <c r="W3" s="3"/>
      <c r="X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>
        <f>Y2-Y3</f>
      </c>
      <c r="Z4">
        <f>Z2-Z3</f>
      </c>
    </row>
    <row r="5" spans="1:24" x14ac:dyDescent="0.25">
      <c r="A5" s="2" t="s">
        <v>4</v>
      </c>
      <c r="B5" s="3">
        <v>14025</v>
      </c>
      <c r="C5" s="3">
        <v>23561</v>
      </c>
      <c r="D5" s="3">
        <v>41853</v>
      </c>
      <c r="E5" s="3">
        <v>75895</v>
      </c>
      <c r="F5" s="3">
        <v>150790</v>
      </c>
      <c r="G5" s="3">
        <v>215309</v>
      </c>
      <c r="H5" s="3">
        <v>295850</v>
      </c>
      <c r="I5" s="3">
        <v>301114</v>
      </c>
      <c r="J5" s="3">
        <v>441969</v>
      </c>
      <c r="K5" s="3">
        <v>619800</v>
      </c>
      <c r="L5" s="3">
        <v>791026</v>
      </c>
      <c r="M5" s="3">
        <v>1029574</v>
      </c>
      <c r="N5" s="3">
        <v>997170</v>
      </c>
      <c r="O5" s="3"/>
      <c r="P5" s="3"/>
      <c r="Q5" s="3"/>
      <c r="R5" s="3"/>
      <c r="S5" s="3"/>
      <c r="T5" s="3"/>
      <c r="U5" s="3"/>
      <c r="V5" s="3"/>
      <c r="W5" s="3"/>
      <c r="X5" s="3"/>
    </row>
    <row r="6" spans="1:24" x14ac:dyDescent="0.25">
      <c r="A6" s="2" t="s">
        <v>5</v>
      </c>
      <c r="B6" s="3">
        <v>48858</v>
      </c>
      <c r="C6" s="3">
        <v>94480</v>
      </c>
      <c r="D6" s="3">
        <v>157700</v>
      </c>
      <c r="E6" s="3">
        <v>269210</v>
      </c>
      <c r="F6" s="3">
        <v>447517</v>
      </c>
      <c r="G6" s="3">
        <v>626927</v>
      </c>
      <c r="H6" s="3">
        <v>792763</v>
      </c>
      <c r="I6" s="3">
        <v>937019</v>
      </c>
      <c r="J6" s="3">
        <v>1267538</v>
      </c>
      <c r="K6" s="3">
        <v>1596475</v>
      </c>
      <c r="L6" s="3">
        <v>1671200</v>
      </c>
      <c r="M6" s="3">
        <v>2056950</v>
      </c>
      <c r="N6" s="3">
        <v>2076049</v>
      </c>
      <c r="O6" s="3"/>
      <c r="P6" s="3"/>
      <c r="Q6" s="3"/>
      <c r="R6" s="3"/>
      <c r="S6" s="3"/>
      <c r="T6" s="3"/>
      <c r="U6" s="3"/>
      <c r="V6" s="3"/>
      <c r="W6" s="3"/>
      <c r="X6" s="3"/>
    </row>
    <row r="7" spans="1:24" x14ac:dyDescent="0.25">
      <c r="A7" s="2" t="s">
        <v>6</v>
      </c>
      <c r="B7" s="3">
        <v>0</v>
      </c>
      <c r="C7" s="3">
        <v>0</v>
      </c>
      <c r="D7" s="3">
        <v>0</v>
      </c>
      <c r="E7" s="3">
        <v>0</v>
      </c>
      <c r="F7" s="3">
        <v>0</v>
      </c>
      <c r="G7" s="3">
        <v>0</v>
      </c>
      <c r="H7" s="3">
        <v>0</v>
      </c>
      <c r="I7" s="3">
        <v>0</v>
      </c>
      <c r="J7" s="3">
        <v>0</v>
      </c>
      <c r="K7" s="3">
        <v>0</v>
      </c>
      <c r="L7" s="3">
        <v>0</v>
      </c>
      <c r="M7" s="3">
        <v>0</v>
      </c>
      <c r="N7" s="3">
        <v>0</v>
      </c>
      <c r="O7" s="3"/>
      <c r="P7" s="3"/>
      <c r="Q7" s="3"/>
      <c r="R7" s="3"/>
      <c r="S7" s="3"/>
      <c r="T7" s="3"/>
      <c r="U7" s="3"/>
      <c r="V7" s="3"/>
      <c r="W7" s="3"/>
      <c r="X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-2128</v>
      </c>
      <c r="D10" s="3">
        <v>-13935</v>
      </c>
      <c r="E10" s="3">
        <v>-695</v>
      </c>
      <c r="F10" s="3">
        <v>970</v>
      </c>
      <c r="G10" s="3">
        <v>1279</v>
      </c>
      <c r="H10" s="3">
        <v>5720</v>
      </c>
      <c r="I10" s="3">
        <v>8943</v>
      </c>
      <c r="J10" s="3">
        <v>31458</v>
      </c>
      <c r="K10" s="3">
        <v>54142</v>
      </c>
      <c r="L10" s="3">
        <v>13850</v>
      </c>
      <c r="M10" s="3">
        <v>2583</v>
      </c>
      <c r="N10" s="3">
        <v>25401</v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4" x14ac:dyDescent="0.25">
      <c r="A11" s="2" t="s">
        <v>10</v>
      </c>
      <c r="B11" s="3">
        <v>21</v>
      </c>
      <c r="C11" s="3">
        <v>0</v>
      </c>
      <c r="D11" s="3">
        <v>0</v>
      </c>
      <c r="E11" s="3">
        <v>0</v>
      </c>
      <c r="F11" s="3">
        <v>0</v>
      </c>
      <c r="G11" s="3">
        <v>0</v>
      </c>
      <c r="H11" s="3">
        <v>0</v>
      </c>
      <c r="I11" s="3">
        <v>0</v>
      </c>
      <c r="J11" s="3">
        <v>41963</v>
      </c>
      <c r="K11" s="3">
        <v>96249</v>
      </c>
      <c r="L11" s="3">
        <v>123076</v>
      </c>
      <c r="M11" s="3">
        <v>174598</v>
      </c>
      <c r="N11" s="3">
        <v>46026</v>
      </c>
      <c r="O11" s="3"/>
      <c r="P11" s="3"/>
      <c r="Q11" s="3"/>
      <c r="R11" s="3"/>
      <c r="S11" s="3"/>
      <c r="T11" s="3"/>
      <c r="U11" s="3"/>
      <c r="V11" s="3"/>
      <c r="W11" s="3"/>
      <c r="X11" s="3"/>
    </row>
    <row r="12" spans="1:24" x14ac:dyDescent="0.25">
      <c r="A12" s="2" t="s">
        <v>11</v>
      </c>
      <c r="B12" s="3">
        <v>-366</v>
      </c>
      <c r="C12" s="3">
        <v>0</v>
      </c>
      <c r="D12" s="3">
        <v>0</v>
      </c>
      <c r="E12" s="3">
        <v>0</v>
      </c>
      <c r="F12" s="3">
        <v>0</v>
      </c>
      <c r="G12" s="3">
        <v>0</v>
      </c>
      <c r="H12" s="3">
        <v>-11571</v>
      </c>
      <c r="I12" s="3">
        <v>-12394</v>
      </c>
      <c r="J12" s="3">
        <v>-1513</v>
      </c>
      <c r="K12" s="3">
        <v>-2407</v>
      </c>
      <c r="L12" s="3">
        <v>-11636</v>
      </c>
      <c r="M12" s="3">
        <v>-1939</v>
      </c>
      <c r="N12" s="3">
        <v>-9320</v>
      </c>
      <c r="O12" s="3"/>
      <c r="P12" s="3"/>
      <c r="Q12" s="3"/>
      <c r="R12" s="3"/>
      <c r="S12" s="3"/>
      <c r="T12" s="3"/>
      <c r="U12" s="3"/>
      <c r="V12" s="3"/>
      <c r="W12" s="3"/>
      <c r="X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>
        <f>Y10-Y11+Y12</f>
      </c>
      <c r="Z13">
        <f>Z10-Z11+Z12</f>
      </c>
    </row>
    <row r="14" spans="1:24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>
        <f>Y9+Y13-Y14</f>
      </c>
      <c r="Z15">
        <f>Z9+Z13-Z14</f>
      </c>
    </row>
    <row r="16" spans="1:24" x14ac:dyDescent="0.25">
      <c r="A16" s="2" t="s">
        <v>15</v>
      </c>
      <c r="B16" s="3">
        <v>125</v>
      </c>
      <c r="C16" s="3">
        <v>178</v>
      </c>
      <c r="D16" s="3">
        <v>713</v>
      </c>
      <c r="E16" s="3">
        <v>6</v>
      </c>
      <c r="F16" s="3">
        <v>2276</v>
      </c>
      <c r="G16" s="3">
        <v>-7872</v>
      </c>
      <c r="H16" s="3">
        <v>5507</v>
      </c>
      <c r="I16" s="3">
        <v>1357</v>
      </c>
      <c r="J16" s="3">
        <v>12386</v>
      </c>
      <c r="K16" s="3">
        <v>5017</v>
      </c>
      <c r="L16" s="3">
        <v>6932</v>
      </c>
      <c r="M16" s="3">
        <v>18314</v>
      </c>
      <c r="N16" s="3">
        <v>12411</v>
      </c>
      <c r="O16" s="3"/>
      <c r="P16" s="3"/>
      <c r="Q16" s="3"/>
      <c r="R16" s="3"/>
      <c r="S16" s="3"/>
      <c r="T16" s="3"/>
      <c r="U16" s="3"/>
      <c r="V16" s="3"/>
      <c r="W16" s="3"/>
      <c r="X16" s="3"/>
    </row>
    <row r="17" spans="1:24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>
        <v>0</v>
      </c>
      <c r="H17" s="3">
        <v>0</v>
      </c>
      <c r="I17" s="3">
        <v>0</v>
      </c>
      <c r="J17" s="3">
        <v>0</v>
      </c>
      <c r="K17" s="3">
        <v>0</v>
      </c>
      <c r="L17" s="3">
        <v>0</v>
      </c>
      <c r="M17" s="3">
        <v>0</v>
      </c>
      <c r="N17" s="3">
        <v>0</v>
      </c>
      <c r="O17" s="3"/>
      <c r="P17" s="3"/>
      <c r="Q17" s="3"/>
      <c r="R17" s="3"/>
      <c r="S17" s="3"/>
      <c r="T17" s="3"/>
      <c r="U17" s="3"/>
      <c r="V17" s="3"/>
      <c r="W17" s="3"/>
      <c r="X17" s="3"/>
    </row>
    <row r="18" spans="1:24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>
        <v>0</v>
      </c>
      <c r="K18" s="3">
        <v>0</v>
      </c>
      <c r="L18" s="3">
        <v>0</v>
      </c>
      <c r="M18" s="3">
        <v>0</v>
      </c>
      <c r="N18" s="3">
        <v>0</v>
      </c>
      <c r="O18" s="3"/>
      <c r="P18" s="3"/>
      <c r="Q18" s="3"/>
      <c r="R18" s="3"/>
      <c r="S18" s="3"/>
      <c r="T18" s="3"/>
      <c r="U18" s="3"/>
      <c r="V18" s="3"/>
      <c r="W18" s="3"/>
      <c r="X18" s="3"/>
    </row>
    <row r="19" spans="1:24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>
        <v>0</v>
      </c>
      <c r="K19" s="3">
        <v>0</v>
      </c>
      <c r="L19" s="3">
        <v>0</v>
      </c>
      <c r="M19" s="3">
        <v>0</v>
      </c>
      <c r="N19" s="3">
        <v>0</v>
      </c>
      <c r="O19" s="3"/>
      <c r="P19" s="3"/>
      <c r="Q19" s="3"/>
      <c r="R19" s="3"/>
      <c r="S19" s="3"/>
      <c r="T19" s="3"/>
      <c r="U19" s="3"/>
      <c r="V19" s="3"/>
      <c r="W19" s="3"/>
      <c r="X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>
        <f>Y15-Y16+Y17-Y18+Y19</f>
      </c>
      <c r="Z20">
        <f>Z15-Z16+Z17-Z18+Z19</f>
      </c>
    </row>
    <row r="21" spans="1:24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</row>
    <row r="22" spans="1:24" x14ac:dyDescent="0.25">
      <c r="A22" s="2" t="s">
        <v>20</v>
      </c>
      <c r="B22" s="3">
        <v>958</v>
      </c>
      <c r="C22" s="3">
        <v>2120</v>
      </c>
      <c r="D22" s="3">
        <v>4674</v>
      </c>
      <c r="E22" s="3">
        <v>6692</v>
      </c>
      <c r="F22" s="3">
        <v>12494</v>
      </c>
      <c r="G22" s="3">
        <v>19491</v>
      </c>
      <c r="H22" s="3">
        <v>32113</v>
      </c>
      <c r="I22" s="3">
        <v>40941</v>
      </c>
      <c r="J22" s="3">
        <v>52430</v>
      </c>
      <c r="K22" s="3">
        <v>67661</v>
      </c>
      <c r="L22" s="3">
        <v>93666</v>
      </c>
      <c r="M22" s="3">
        <v>99145</v>
      </c>
      <c r="N22" s="3">
        <v>99470</v>
      </c>
      <c r="O22" s="3"/>
      <c r="P22" s="3"/>
      <c r="Q22" s="3"/>
      <c r="R22" s="3"/>
      <c r="S22" s="3"/>
      <c r="T22" s="3"/>
      <c r="U22" s="3"/>
      <c r="V22" s="3"/>
      <c r="W22" s="3"/>
      <c r="X22" s="3"/>
    </row>
    <row r="23" spans="1:24" x14ac:dyDescent="0.25">
      <c r="A23" s="2" t="s">
        <v>21</v>
      </c>
      <c r="B23" s="3">
        <v>1585</v>
      </c>
      <c r="C23" s="3">
        <v>3760</v>
      </c>
      <c r="D23" s="3">
        <v>19480</v>
      </c>
      <c r="E23" s="3">
        <v>69368</v>
      </c>
      <c r="F23" s="3">
        <v>214179</v>
      </c>
      <c r="G23" s="3">
        <v>292257</v>
      </c>
      <c r="H23" s="3">
        <v>378041</v>
      </c>
      <c r="I23" s="3">
        <v>358463</v>
      </c>
      <c r="J23" s="3">
        <v>441930</v>
      </c>
      <c r="K23" s="3">
        <v>545424</v>
      </c>
      <c r="L23" s="3">
        <v>618655</v>
      </c>
      <c r="M23" s="3">
        <v>794818</v>
      </c>
      <c r="N23" s="3">
        <v>789138</v>
      </c>
      <c r="O23" s="3"/>
      <c r="P23" s="3"/>
      <c r="Q23" s="3"/>
      <c r="R23" s="3"/>
      <c r="S23" s="3"/>
      <c r="T23" s="3"/>
      <c r="U23" s="3"/>
      <c r="V23" s="3"/>
      <c r="W23" s="3"/>
      <c r="X23" s="3"/>
    </row>
    <row r="24" spans="1:24" x14ac:dyDescent="0.25">
      <c r="A24" s="2" t="s">
        <v>22</v>
      </c>
      <c r="B24" s="3">
        <v>1263</v>
      </c>
      <c r="C24" s="3">
        <v>5112</v>
      </c>
      <c r="D24" s="3">
        <v>12527</v>
      </c>
      <c r="E24" s="3">
        <v>2948</v>
      </c>
      <c r="F24" s="3">
        <v>94423</v>
      </c>
      <c r="G24" s="3">
        <v>122646</v>
      </c>
      <c r="H24" s="3">
        <v>139140</v>
      </c>
      <c r="I24" s="3">
        <v>53718</v>
      </c>
      <c r="J24" s="3">
        <v>77671</v>
      </c>
      <c r="K24" s="3">
        <v>-564053</v>
      </c>
      <c r="L24" s="3">
        <v>4797</v>
      </c>
      <c r="M24" s="3">
        <v>573182</v>
      </c>
      <c r="N24" s="3">
        <v>-161116</v>
      </c>
      <c r="O24" s="3"/>
      <c r="P24" s="3"/>
      <c r="Q24" s="3"/>
      <c r="R24" s="3"/>
      <c r="S24" s="3"/>
      <c r="T24" s="3"/>
      <c r="U24" s="3"/>
      <c r="V24" s="3"/>
      <c r="W24" s="3"/>
      <c r="X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>
        <f>Y20+Y22+Y23+Y24</f>
      </c>
      <c r="Z25">
        <f>Z20+Z22+Z23+Z24</f>
      </c>
    </row>
    <row r="26" spans="1:24" x14ac:dyDescent="0.25">
      <c r="A26" s="2" t="s">
        <v>24</v>
      </c>
      <c r="B26" s="3">
        <v>0</v>
      </c>
      <c r="C26" s="3">
        <v>0</v>
      </c>
      <c r="D26" s="3">
        <v>0</v>
      </c>
      <c r="E26" s="3">
        <v>0</v>
      </c>
      <c r="F26" s="3">
        <v>642660</v>
      </c>
      <c r="G26" s="3">
        <v>10797</v>
      </c>
      <c r="H26" s="3">
        <v>127461</v>
      </c>
      <c r="I26" s="3">
        <v>-20845</v>
      </c>
      <c r="J26" s="3">
        <v>23160</v>
      </c>
      <c r="K26" s="3">
        <v>101119</v>
      </c>
      <c r="L26" s="3">
        <v>37107</v>
      </c>
      <c r="M26" s="3">
        <v>10671</v>
      </c>
      <c r="N26" s="3">
        <v>13620</v>
      </c>
      <c r="O26" s="3"/>
      <c r="P26" s="3"/>
      <c r="Q26" s="3"/>
      <c r="R26" s="3"/>
      <c r="S26" s="3"/>
      <c r="T26" s="3"/>
      <c r="U26" s="3"/>
      <c r="V26" s="3"/>
      <c r="W26" s="3"/>
      <c r="X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>
        <f>Y25-Y26</f>
      </c>
      <c r="Z27">
        <f>Z25-Z26</f>
      </c>
    </row>
    <row r="28" spans="1:24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24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</row>
    <row r="36" spans="1:24" x14ac:dyDescent="0.25">
      <c r="A36" s="2" t="s">
        <v>32</v>
      </c>
      <c r="B36" s="3">
        <v>0</v>
      </c>
      <c r="C36" s="3">
        <v>8919</v>
      </c>
      <c r="D36" s="3">
        <v>13205</v>
      </c>
      <c r="E36" s="3">
        <v>15505</v>
      </c>
      <c r="F36" s="3">
        <v>50374</v>
      </c>
      <c r="G36" s="3">
        <v>134995</v>
      </c>
      <c r="H36" s="3">
        <v>166395</v>
      </c>
      <c r="I36" s="3">
        <v>160880</v>
      </c>
      <c r="J36" s="3">
        <v>158276</v>
      </c>
      <c r="K36" s="3">
        <v>156928</v>
      </c>
      <c r="L36" s="3">
        <v>182780</v>
      </c>
      <c r="M36" s="3">
        <v>124900</v>
      </c>
      <c r="N36" s="3">
        <v>108540</v>
      </c>
      <c r="O36" s="3"/>
      <c r="P36" s="3"/>
      <c r="Q36" s="3"/>
      <c r="R36" s="3"/>
      <c r="S36" s="3"/>
      <c r="T36" s="3"/>
      <c r="U36" s="3"/>
      <c r="V36" s="3"/>
      <c r="W36" s="3"/>
      <c r="X36" s="3"/>
    </row>
    <row r="37" spans="1:24" x14ac:dyDescent="0.25">
      <c r="A37" s="2" t="s">
        <v>33</v>
      </c>
      <c r="B37" s="3">
        <v>0</v>
      </c>
      <c r="C37" s="3">
        <v>82223</v>
      </c>
      <c r="D37" s="3">
        <v>390445</v>
      </c>
      <c r="E37" s="3">
        <v>1040331</v>
      </c>
      <c r="F37" s="3">
        <v>1247791</v>
      </c>
      <c r="G37" s="3">
        <v>1536839</v>
      </c>
      <c r="H37" s="3">
        <v>1718546</v>
      </c>
      <c r="I37" s="3">
        <v>2139445</v>
      </c>
      <c r="J37" s="3">
        <v>4500243</v>
      </c>
      <c r="K37" s="3">
        <v>5439471</v>
      </c>
      <c r="L37" s="3">
        <v>5868486</v>
      </c>
      <c r="M37" s="3">
        <v>5790875</v>
      </c>
      <c r="N37" s="3">
        <v>6343923</v>
      </c>
      <c r="O37" s="3"/>
      <c r="P37" s="3"/>
      <c r="Q37" s="3"/>
      <c r="R37" s="3"/>
      <c r="S37" s="3"/>
      <c r="T37" s="3"/>
      <c r="U37" s="3"/>
      <c r="V37" s="3"/>
      <c r="W37" s="3"/>
      <c r="X37" s="3"/>
    </row>
    <row r="38" spans="1:24" x14ac:dyDescent="0.25">
      <c r="A38" s="2" t="s">
        <v>34</v>
      </c>
      <c r="B38" s="3">
        <v>36503</v>
      </c>
      <c r="C38" s="3">
        <v>123869</v>
      </c>
      <c r="D38" s="3">
        <v>152901</v>
      </c>
      <c r="E38" s="3">
        <v>255423</v>
      </c>
      <c r="F38" s="3">
        <v>434470</v>
      </c>
      <c r="G38" s="3">
        <v>677425</v>
      </c>
      <c r="H38" s="3">
        <v>658254</v>
      </c>
      <c r="I38" s="3">
        <v>1008124</v>
      </c>
      <c r="J38" s="3">
        <v>2979786</v>
      </c>
      <c r="K38" s="3">
        <v>3440042</v>
      </c>
      <c r="L38" s="3">
        <v>4274481</v>
      </c>
      <c r="M38" s="3">
        <v>5568104</v>
      </c>
      <c r="N38" s="3">
        <v>6454436</v>
      </c>
      <c r="O38" s="3"/>
      <c r="P38" s="3"/>
      <c r="Q38" s="3"/>
      <c r="R38" s="3"/>
      <c r="S38" s="3"/>
      <c r="T38" s="3"/>
      <c r="U38" s="3"/>
      <c r="V38" s="3"/>
      <c r="W38" s="3"/>
      <c r="X38" s="3"/>
    </row>
    <row r="39" spans="1:24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>
        <f>F37-F38</f>
      </c>
      <c r="G39" s="3">
        <f>G37-G38</f>
      </c>
      <c r="H39" s="3">
        <f>H37-H38</f>
      </c>
      <c r="I39" s="3">
        <f>I37-I38</f>
      </c>
      <c r="J39" s="3">
        <f>J37-J38</f>
      </c>
      <c r="K39" s="3">
        <f>K37-K38</f>
      </c>
      <c r="L39" s="3">
        <f>L37-L38</f>
      </c>
      <c r="M39" s="3">
        <f>M37-M38</f>
      </c>
      <c r="N39" s="3">
        <f>N37-N38</f>
      </c>
      <c r="O39" s="3"/>
      <c r="P39" s="3"/>
      <c r="Q39" s="3"/>
      <c r="R39" s="3"/>
      <c r="S39" s="3"/>
      <c r="T39" s="3"/>
      <c r="U39" s="3"/>
      <c r="V39" s="3"/>
      <c r="W39" s="3"/>
      <c r="X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1, 31)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2023-12-22T01:45:17Z</cp:lastPrinted>
  <dcterms:created xsi:type="dcterms:W3CDTF">2023-12-22T01:45:17Z</dcterms:created>
  <dcterms:modified xsi:type="dcterms:W3CDTF">2023-12-22T01:45:17Z</dcterms:modified>
</cp:coreProperties>
</file>