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<sst xmlns="http://schemas.openxmlformats.org/spreadsheetml/2006/main" count="74" uniqueCount="71">
  <si>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</si>
  <si>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</si>
  <si>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</si>
  <si>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</si>
  <si>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</si>
  <si>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</si>
  <si>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</si>
  <si>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</si>
  <si>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</si>
  <si>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</si>
  <si>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</si>
  <si>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</si>
  <si>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</si>
  <si>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</si>
  <si>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</si>
  <si>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</si>
  <si>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</si>
  <si>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</si>
  <si>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</si>
  <si>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</si>
  <si>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Miscellaneous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</si>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</sst>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37641</v>
      </c>
      <c r="C2" s="3">
        <v>35960</v>
      </c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19477</v>
      </c>
      <c r="C3" s="3">
        <v>19991</v>
      </c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2415</v>
      </c>
      <c r="C5" s="3">
        <v>3597</v>
      </c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6328</v>
      </c>
      <c r="C6" s="3">
        <v>12920</v>
      </c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0</v>
      </c>
      <c r="C7" s="3">
        <v>0</v>
      </c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61</v>
      </c>
      <c r="C10" s="3">
        <v>80</v>
      </c>
      <c r="D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33</v>
      </c>
      <c r="C11" s="3">
        <v>0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28</v>
      </c>
      <c r="C12" s="3">
        <v>80</v>
      </c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5" x14ac:dyDescent="0.25">
      <c r="A13" s="2" t="s">
        <v>12</v>
      </c>
      <c r="B13" s="3">
        <v>965</v>
      </c>
      <c r="C13" s="3">
        <v>1553</v>
      </c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</row>
    <row r="14" spans="1:26" x14ac:dyDescent="0.25">
      <c r="A14" s="2" t="s">
        <v>13</v>
      </c>
      <c r="B14" s="3">
        <f>B12+B13</f>
      </c>
      <c r="C14" s="3">
        <f>C12+C13</f>
      </c>
      <c r="D14" s="3">
        <f>D12+D13</f>
      </c>
      <c r="E14" s="3">
        <f>E12+E13</f>
      </c>
      <c r="F14" s="3">
        <f>F12+F13</f>
      </c>
      <c r="G14" s="3">
        <f>G12+G13</f>
      </c>
      <c r="H14" s="3">
        <f>H12+H13</f>
      </c>
      <c r="I14" s="3">
        <f>I12+I13</f>
      </c>
      <c r="J14" s="3">
        <f>J12+J13</f>
      </c>
      <c r="K14" s="3">
        <f>K12+K13</f>
      </c>
      <c r="L14" s="3">
        <f>L12+L13</f>
      </c>
      <c r="M14" s="3">
        <f>M12+M13</f>
      </c>
      <c r="N14" s="3">
        <f>N12+N13</f>
      </c>
      <c r="O14" s="3">
        <f>O12+O13</f>
      </c>
      <c r="P14" s="3">
        <f>P12+P13</f>
      </c>
      <c r="Q14" s="3">
        <f>Q12+Q13</f>
      </c>
      <c r="R14" s="3">
        <f>R12+R13</f>
      </c>
      <c r="S14" s="3">
        <f>S12+S13</f>
      </c>
      <c r="T14" s="3">
        <f>T12+T13</f>
      </c>
      <c r="U14" s="3">
        <f>U12+U13</f>
      </c>
      <c r="V14" s="3">
        <f>V12+V13</f>
      </c>
      <c r="W14" s="3">
        <f>W12+W13</f>
      </c>
      <c r="X14" s="3">
        <f>X12+X13</f>
      </c>
      <c r="Y14" s="3">
        <f>Y12+Y13</f>
      </c>
      <c r="Z14">
        <f>Z12+Z13</f>
      </c>
    </row>
    <row r="15" spans="1:25" x14ac:dyDescent="0.25">
      <c r="A15" s="2" t="s">
        <v>14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</row>
    <row r="16" spans="1:26" x14ac:dyDescent="0.25">
      <c r="A16" s="2" t="s">
        <v>15</v>
      </c>
      <c r="B16" s="3">
        <f>B9+B14-B15</f>
      </c>
      <c r="C16" s="3">
        <f>C9+C14-C15</f>
      </c>
      <c r="D16" s="3">
        <f>D9+D14-D15</f>
      </c>
      <c r="E16" s="3">
        <f>E9+E14-E15</f>
      </c>
      <c r="F16" s="3">
        <f>F9+F14-F15</f>
      </c>
      <c r="G16" s="3">
        <f>G9+G14-G15</f>
      </c>
      <c r="H16" s="3">
        <f>H9+H14-H15</f>
      </c>
      <c r="I16" s="3">
        <f>I9+I14-I15</f>
      </c>
      <c r="J16" s="3">
        <f>J9+J14-J15</f>
      </c>
      <c r="K16" s="3">
        <f>K9+K14-K15</f>
      </c>
      <c r="L16" s="3">
        <f>L9+L14-L15</f>
      </c>
      <c r="M16" s="3">
        <f>M9+M14-M15</f>
      </c>
      <c r="N16" s="3">
        <f>N9+N14-N15</f>
      </c>
      <c r="O16" s="3">
        <f>O9+O14-O15</f>
      </c>
      <c r="P16" s="3">
        <f>P9+P14-P15</f>
      </c>
      <c r="Q16" s="3">
        <f>Q9+Q14-Q15</f>
      </c>
      <c r="R16" s="3">
        <f>R9+R14-R15</f>
      </c>
      <c r="S16" s="3">
        <f>S9+S14-S15</f>
      </c>
      <c r="T16" s="3">
        <f>T9+T14-T15</f>
      </c>
      <c r="U16" s="3">
        <f>U9+U14-U15</f>
      </c>
      <c r="V16" s="3">
        <f>V9+V14-V15</f>
      </c>
      <c r="W16" s="3">
        <f>W9+W14-W15</f>
      </c>
      <c r="X16" s="3">
        <f>X9+X14-X15</f>
      </c>
      <c r="Y16" s="3">
        <f>Y9+Y14-Y15</f>
      </c>
      <c r="Z16">
        <f>Z9+Z14-Z15</f>
      </c>
    </row>
    <row r="17" spans="1:25" x14ac:dyDescent="0.25">
      <c r="A17" s="2" t="s">
        <v>16</v>
      </c>
      <c r="B17" s="3">
        <v>129</v>
      </c>
      <c r="C17" s="3">
        <v>-77</v>
      </c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-401</v>
      </c>
      <c r="C18" s="3">
        <v>-4</v>
      </c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5" x14ac:dyDescent="0.25">
      <c r="A20" s="2" t="s">
        <v>19</v>
      </c>
      <c r="B20" s="3">
        <v>0</v>
      </c>
      <c r="C20" s="3">
        <v>0</v>
      </c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</row>
    <row r="21" spans="1:25" x14ac:dyDescent="0.25">
      <c r="A21" s="2" t="s">
        <v>20</v>
      </c>
      <c r="B21" s="3">
        <v>0</v>
      </c>
      <c r="C21" s="3">
        <v>0</v>
      </c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6" x14ac:dyDescent="0.25">
      <c r="A22" s="2" t="s">
        <v>21</v>
      </c>
      <c r="B22" s="3">
        <f>B16-B17+B18-B19+B20+B21</f>
      </c>
      <c r="C22" s="3">
        <f>C16-C17+C18-C19+C20+C21</f>
      </c>
      <c r="D22" s="3">
        <f>D16-D17+D18-D19+D20+D21</f>
      </c>
      <c r="E22" s="3">
        <f>E16-E17+E18-E19+E20+E21</f>
      </c>
      <c r="F22" s="3">
        <f>F16-F17+F18-F19+F20+F21</f>
      </c>
      <c r="G22" s="3">
        <f>G16-G17+G18-G19+G20+G21</f>
      </c>
      <c r="H22" s="3">
        <f>H16-H17+H18-H19+H20+H21</f>
      </c>
      <c r="I22" s="3">
        <f>I16-I17+I18-I19+I20+I21</f>
      </c>
      <c r="J22" s="3">
        <f>J16-J17+J18-J19+J20+J21</f>
      </c>
      <c r="K22" s="3">
        <f>K16-K17+K18-K19+K20+K21</f>
      </c>
      <c r="L22" s="3">
        <f>L16-L17+L18-L19+L20+L21</f>
      </c>
      <c r="M22" s="3">
        <f>M16-M17+M18-M19+M20+M21</f>
      </c>
      <c r="N22" s="3">
        <f>N16-N17+N18-N19+N20+N21</f>
      </c>
      <c r="O22" s="3">
        <f>O16-O17+O18-O19+O20+O21</f>
      </c>
      <c r="P22" s="3">
        <f>P16-P17+P18-P19+P20+P21</f>
      </c>
      <c r="Q22" s="3">
        <f>Q16-Q17+Q18-Q19+Q20+Q21</f>
      </c>
      <c r="R22" s="3">
        <f>R16-R17+R18-R19+R20+R21</f>
      </c>
      <c r="S22" s="3">
        <f>S16-S17+S18-S19+S20+S21</f>
      </c>
      <c r="T22" s="3">
        <f>T16-T17+T18-T19+T20+T21</f>
      </c>
      <c r="U22" s="3">
        <f>U16-U17+U18-U19+U20+U21</f>
      </c>
      <c r="V22" s="3">
        <f>V16-V17+V18-V19+V20+V21</f>
      </c>
      <c r="W22" s="3">
        <f>W16-W17+W18-W19+W20+W21</f>
      </c>
      <c r="X22" s="3">
        <f>X16-X17+X18-X19+X20+X21</f>
      </c>
      <c r="Y22" s="3">
        <f>Y16-Y17+Y18-Y19+Y20+Y21</f>
      </c>
      <c r="Z22">
        <f>Z16-Z17+Z18-Z19+Z20+Z21</f>
      </c>
    </row>
    <row r="23" spans="1:25" x14ac:dyDescent="0.25">
      <c r="A23" s="2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3970</v>
      </c>
      <c r="C24" s="3">
        <v>4958</v>
      </c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5" x14ac:dyDescent="0.25">
      <c r="A25" s="2" t="s">
        <v>23</v>
      </c>
      <c r="B25" s="3">
        <v>556</v>
      </c>
      <c r="C25" s="3">
        <v>234</v>
      </c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</row>
    <row r="26" spans="1:25" x14ac:dyDescent="0.25">
      <c r="A26" s="2" t="s">
        <v>24</v>
      </c>
      <c r="B26" s="3">
        <v>-13632</v>
      </c>
      <c r="C26" s="3">
        <v>-3064</v>
      </c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B22+B24+B25+B26</f>
      </c>
      <c r="C27" s="3">
        <f>C22+C24+C25+C26</f>
      </c>
      <c r="D27" s="3">
        <f>D22+D24+D25+D26</f>
      </c>
      <c r="E27" s="3">
        <f>E22+E24+E25+E26</f>
      </c>
      <c r="F27" s="3">
        <f>F22+F24+F25+F26</f>
      </c>
      <c r="G27" s="3">
        <f>G22+G24+G25+G26</f>
      </c>
      <c r="H27" s="3">
        <f>H22+H24+H25+H26</f>
      </c>
      <c r="I27" s="3">
        <f>I22+I24+I25+I26</f>
      </c>
      <c r="J27" s="3">
        <f>J22+J24+J25+J26</f>
      </c>
      <c r="K27" s="3">
        <f>K22+K24+K25+K26</f>
      </c>
      <c r="L27" s="3">
        <f>L22+L24+L25+L26</f>
      </c>
      <c r="M27" s="3">
        <f>M22+M24+M25+M26</f>
      </c>
      <c r="N27" s="3">
        <f>N22+N24+N25+N26</f>
      </c>
      <c r="O27" s="3">
        <f>O22+O24+O25+O26</f>
      </c>
      <c r="P27" s="3">
        <f>P22+P24+P25+P26</f>
      </c>
      <c r="Q27" s="3">
        <f>Q22+Q24+Q25+Q26</f>
      </c>
      <c r="R27" s="3">
        <f>R22+R24+R25+R26</f>
      </c>
      <c r="S27" s="3">
        <f>S22+S24+S25+S26</f>
      </c>
      <c r="T27" s="3">
        <f>T22+T24+T25+T26</f>
      </c>
      <c r="U27" s="3">
        <f>U22+U24+U25+U26</f>
      </c>
      <c r="V27" s="3">
        <f>V22+V24+V25+V26</f>
      </c>
      <c r="W27" s="3">
        <f>W22+W24+W25+W26</f>
      </c>
      <c r="X27" s="3">
        <f>X22+X24+X25+X26</f>
      </c>
      <c r="Y27" s="3">
        <f>Y22+Y24+Y25+Y26</f>
      </c>
      <c r="Z27">
        <f>Z22+Z24+Z25+Z26</f>
      </c>
    </row>
    <row r="28" spans="1:25" x14ac:dyDescent="0.25">
      <c r="A28" s="2" t="s">
        <v>26</v>
      </c>
      <c r="B28" s="3">
        <v>601</v>
      </c>
      <c r="C28" s="3">
        <v>635</v>
      </c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27</v>
      </c>
      <c r="B29" s="3">
        <f>B27-B28</f>
      </c>
      <c r="C29" s="3">
        <f>C27-C28</f>
      </c>
      <c r="D29" s="3">
        <f>D27-D28</f>
      </c>
      <c r="E29" s="3">
        <f>E27-E28</f>
      </c>
      <c r="F29" s="3">
        <f>F27-F28</f>
      </c>
      <c r="G29" s="3">
        <f>G27-G28</f>
      </c>
      <c r="H29" s="3">
        <f>H27-H28</f>
      </c>
      <c r="I29" s="3">
        <f>I27-I28</f>
      </c>
      <c r="J29" s="3">
        <f>J27-J28</f>
      </c>
      <c r="K29" s="3">
        <f>K27-K28</f>
      </c>
      <c r="L29" s="3">
        <f>L27-L28</f>
      </c>
      <c r="M29" s="3">
        <f>M27-M28</f>
      </c>
      <c r="N29" s="3">
        <f>N27-N28</f>
      </c>
      <c r="O29" s="3">
        <f>O27-O28</f>
      </c>
      <c r="P29" s="3">
        <f>P27-P28</f>
      </c>
      <c r="Q29" s="3">
        <f>Q27-Q28</f>
      </c>
      <c r="R29" s="3">
        <f>R27-R28</f>
      </c>
      <c r="S29" s="3">
        <f>S27-S28</f>
      </c>
      <c r="T29" s="3">
        <f>T27-T28</f>
      </c>
      <c r="U29" s="3">
        <f>U27-U28</f>
      </c>
      <c r="V29" s="3">
        <f>V27-V28</f>
      </c>
      <c r="W29" s="3">
        <f>W27-W28</f>
      </c>
      <c r="X29" s="3">
        <f>X27-X28</f>
      </c>
      <c r="Y29" s="3">
        <f>Y27-Y28</f>
      </c>
      <c r="Z29">
        <f>Z27-Z28</f>
      </c>
    </row>
    <row r="30" spans="1:25" x14ac:dyDescent="0.25">
      <c r="A30" s="2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</row>
    <row r="31" spans="1:26" x14ac:dyDescent="0.25">
      <c r="A31" s="2" t="s">
        <v>28</v>
      </c>
      <c r="B31" s="4"/>
      <c r="C31" s="4">
        <f>IF(AND(COUNT(B2,C2)=2, C2&lt;&gt;0, B2&lt;&gt;0), C2/B2-1, " ")</f>
      </c>
      <c r="D31" s="4">
        <f>IF(AND(COUNT(C2,D2)=2, D2&lt;&gt;0, C2&lt;&gt;0), D2/C2-1, " ")</f>
      </c>
      <c r="E31" s="4">
        <f>IF(AND(COUNT(D2,E2)=2, E2&lt;&gt;0, D2&lt;&gt;0), E2/D2-1, " ")</f>
      </c>
      <c r="F31" s="4">
        <f>IF(AND(COUNT(E2,F2)=2, F2&lt;&gt;0, E2&lt;&gt;0), F2/E2-1, " ")</f>
      </c>
      <c r="G31" s="4">
        <f>IF(AND(COUNT(F2,G2)=2, G2&lt;&gt;0, F2&lt;&gt;0), G2/F2-1, " ")</f>
      </c>
      <c r="H31" s="4">
        <f>IF(AND(COUNT(G2,H2)=2, H2&lt;&gt;0, G2&lt;&gt;0), H2/G2-1, " ")</f>
      </c>
      <c r="I31" s="4">
        <f>IF(AND(COUNT(H2,I2)=2, I2&lt;&gt;0, H2&lt;&gt;0), I2/H2-1, " ")</f>
      </c>
      <c r="J31" s="4">
        <f>IF(AND(COUNT(I2,J2)=2, J2&lt;&gt;0, I2&lt;&gt;0), J2/I2-1, " ")</f>
      </c>
      <c r="K31" s="4">
        <f>IF(AND(COUNT(J2,K2)=2, K2&lt;&gt;0, J2&lt;&gt;0), K2/J2-1, " ")</f>
      </c>
      <c r="L31" s="4">
        <f>IF(AND(COUNT(K2,L2)=2, L2&lt;&gt;0, K2&lt;&gt;0), L2/K2-1, " ")</f>
      </c>
      <c r="M31" s="4">
        <f>IF(AND(COUNT(L2,M2)=2, M2&lt;&gt;0, L2&lt;&gt;0), M2/L2-1, " ")</f>
      </c>
      <c r="N31" s="4">
        <f>IF(AND(COUNT(M2,N2)=2, N2&lt;&gt;0, M2&lt;&gt;0), N2/M2-1, " ")</f>
      </c>
      <c r="O31" s="4">
        <f>IF(AND(COUNT(N2,O2)=2, O2&lt;&gt;0, N2&lt;&gt;0), O2/N2-1, " ")</f>
      </c>
      <c r="P31" s="4">
        <f>IF(AND(COUNT(O2,P2)=2, P2&lt;&gt;0, O2&lt;&gt;0), P2/O2-1, " ")</f>
      </c>
      <c r="Q31" s="4">
        <f>IF(AND(COUNT(P2,Q2)=2, Q2&lt;&gt;0, P2&lt;&gt;0), Q2/P2-1, " ")</f>
      </c>
      <c r="R31" s="4">
        <f>IF(AND(COUNT(Q2,R2)=2, R2&lt;&gt;0, Q2&lt;&gt;0), R2/Q2-1, " ")</f>
      </c>
      <c r="S31" s="4">
        <f>IF(AND(COUNT(R2,S2)=2, S2&lt;&gt;0, R2&lt;&gt;0), S2/R2-1, " ")</f>
      </c>
      <c r="T31" s="4">
        <f>IF(AND(COUNT(S2,T2)=2, T2&lt;&gt;0, S2&lt;&gt;0), T2/S2-1, " ")</f>
      </c>
      <c r="U31" s="4">
        <f>IF(AND(COUNT(T2,U2)=2, U2&lt;&gt;0, T2&lt;&gt;0), U2/T2-1, " ")</f>
      </c>
      <c r="V31" s="4">
        <f>IF(AND(COUNT(U2,V2)=2, V2&lt;&gt;0, U2&lt;&gt;0), V2/U2-1, " ")</f>
      </c>
      <c r="W31" s="4">
        <f>IF(AND(COUNT(V2,W2)=2, W2&lt;&gt;0, V2&lt;&gt;0), W2/V2-1, " ")</f>
      </c>
      <c r="X31" s="4">
        <f>IF(AND(COUNT(W2,X2)=2, X2&lt;&gt;0, W2&lt;&gt;0), X2/W2-1, " ")</f>
      </c>
      <c r="Y31" s="4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s="2" t="s">
        <v>29</v>
      </c>
      <c r="B32" s="4">
        <f>IF(AND(COUNT(B2,B4)=2, B2&lt;&gt;0), B4/B2, " ")</f>
      </c>
      <c r="C32" s="4">
        <f>IF(AND(COUNT(C2,C4)=2, C2&lt;&gt;0), C4/C2, " ")</f>
      </c>
      <c r="D32" s="4">
        <f>IF(AND(COUNT(D2,D4)=2, D2&lt;&gt;0), D4/D2, " ")</f>
      </c>
      <c r="E32" s="4">
        <f>IF(AND(COUNT(E2,E4)=2, E2&lt;&gt;0), E4/E2, " ")</f>
      </c>
      <c r="F32" s="4">
        <f>IF(AND(COUNT(F2,F4)=2, F2&lt;&gt;0), F4/F2, " ")</f>
      </c>
      <c r="G32" s="4">
        <f>IF(AND(COUNT(G2,G4)=2, G2&lt;&gt;0), G4/G2, " ")</f>
      </c>
      <c r="H32" s="4">
        <f>IF(AND(COUNT(H2,H4)=2, H2&lt;&gt;0), H4/H2, " ")</f>
      </c>
      <c r="I32" s="4">
        <f>IF(AND(COUNT(I2,I4)=2, I2&lt;&gt;0), I4/I2, " ")</f>
      </c>
      <c r="J32" s="4">
        <f>IF(AND(COUNT(J2,J4)=2, J2&lt;&gt;0), J4/J2, " ")</f>
      </c>
      <c r="K32" s="4">
        <f>IF(AND(COUNT(K2,K4)=2, K2&lt;&gt;0), K4/K2, " ")</f>
      </c>
      <c r="L32" s="4">
        <f>IF(AND(COUNT(L2,L4)=2, L2&lt;&gt;0), L4/L2, " ")</f>
      </c>
      <c r="M32" s="4">
        <f>IF(AND(COUNT(M2,M4)=2, M2&lt;&gt;0), M4/M2, " ")</f>
      </c>
      <c r="N32" s="4">
        <f>IF(AND(COUNT(N2,N4)=2, N2&lt;&gt;0), N4/N2, " ")</f>
      </c>
      <c r="O32" s="4">
        <f>IF(AND(COUNT(O2,O4)=2, O2&lt;&gt;0), O4/O2, " ")</f>
      </c>
      <c r="P32" s="4">
        <f>IF(AND(COUNT(P2,P4)=2, P2&lt;&gt;0), P4/P2, " ")</f>
      </c>
      <c r="Q32" s="4">
        <f>IF(AND(COUNT(Q2,Q4)=2, Q2&lt;&gt;0), Q4/Q2, " ")</f>
      </c>
      <c r="R32" s="4">
        <f>IF(AND(COUNT(R2,R4)=2, R2&lt;&gt;0), R4/R2, " ")</f>
      </c>
      <c r="S32" s="4">
        <f>IF(AND(COUNT(S2,S4)=2, S2&lt;&gt;0), S4/S2, " ")</f>
      </c>
      <c r="T32" s="4">
        <f>IF(AND(COUNT(T2,T4)=2, T2&lt;&gt;0), T4/T2, " ")</f>
      </c>
      <c r="U32" s="4">
        <f>IF(AND(COUNT(U2,U4)=2, U2&lt;&gt;0), U4/U2, " ")</f>
      </c>
      <c r="V32" s="4">
        <f>IF(AND(COUNT(V2,V4)=2, V2&lt;&gt;0), V4/V2, " ")</f>
      </c>
      <c r="W32" s="4">
        <f>IF(AND(COUNT(W2,W4)=2, W2&lt;&gt;0), W4/W2, " ")</f>
      </c>
      <c r="X32" s="4">
        <f>IF(AND(COUNT(X2,X4)=2, X2&lt;&gt;0), X4/X2, " ")</f>
      </c>
      <c r="Y32" s="4">
        <f>IF(AND(COUNT(Y2,Y4)=2, Y2&lt;&gt;0), Y4/Y2, " ")</f>
      </c>
      <c r="Z32">
        <f>IF(AND(COUNT(Z2,Z4)=2, Z2&lt;&gt;0), Z4/Z2, " ")</f>
      </c>
    </row>
    <row r="33" spans="1:26" x14ac:dyDescent="0.25">
      <c r="A33" s="2" t="s">
        <v>30</v>
      </c>
      <c r="B33" s="4">
        <f>IF(AND(COUNT(B2,B9)=2, B2&lt;&gt;0), B9/B2, " ")</f>
      </c>
      <c r="C33" s="4">
        <f>IF(AND(COUNT(C2,C9)=2, C2&lt;&gt;0), C9/C2, " ")</f>
      </c>
      <c r="D33" s="4">
        <f>IF(AND(COUNT(D2,D9)=2, D2&lt;&gt;0), D9/D2, " ")</f>
      </c>
      <c r="E33" s="4">
        <f>IF(AND(COUNT(E2,E9)=2, E2&lt;&gt;0), E9/E2, " ")</f>
      </c>
      <c r="F33" s="4">
        <f>IF(AND(COUNT(F2,F9)=2, F2&lt;&gt;0), F9/F2, " ")</f>
      </c>
      <c r="G33" s="4">
        <f>IF(AND(COUNT(G2,G9)=2, G2&lt;&gt;0), G9/G2, " ")</f>
      </c>
      <c r="H33" s="4">
        <f>IF(AND(COUNT(H2,H9)=2, H2&lt;&gt;0), H9/H2, " ")</f>
      </c>
      <c r="I33" s="4">
        <f>IF(AND(COUNT(I2,I9)=2, I2&lt;&gt;0), I9/I2, " ")</f>
      </c>
      <c r="J33" s="4">
        <f>IF(AND(COUNT(J2,J9)=2, J2&lt;&gt;0), J9/J2, " ")</f>
      </c>
      <c r="K33" s="4">
        <f>IF(AND(COUNT(K2,K9)=2, K2&lt;&gt;0), K9/K2, " ")</f>
      </c>
      <c r="L33" s="4">
        <f>IF(AND(COUNT(L2,L9)=2, L2&lt;&gt;0), L9/L2, " ")</f>
      </c>
      <c r="M33" s="4">
        <f>IF(AND(COUNT(M2,M9)=2, M2&lt;&gt;0), M9/M2, " ")</f>
      </c>
      <c r="N33" s="4">
        <f>IF(AND(COUNT(N2,N9)=2, N2&lt;&gt;0), N9/N2, " ")</f>
      </c>
      <c r="O33" s="4">
        <f>IF(AND(COUNT(O2,O9)=2, O2&lt;&gt;0), O9/O2, " ")</f>
      </c>
      <c r="P33" s="4">
        <f>IF(AND(COUNT(P2,P9)=2, P2&lt;&gt;0), P9/P2, " ")</f>
      </c>
      <c r="Q33" s="4">
        <f>IF(AND(COUNT(Q2,Q9)=2, Q2&lt;&gt;0), Q9/Q2, " ")</f>
      </c>
      <c r="R33" s="4">
        <f>IF(AND(COUNT(R2,R9)=2, R2&lt;&gt;0), R9/R2, " ")</f>
      </c>
      <c r="S33" s="4">
        <f>IF(AND(COUNT(S2,S9)=2, S2&lt;&gt;0), S9/S2, " ")</f>
      </c>
      <c r="T33" s="4">
        <f>IF(AND(COUNT(T2,T9)=2, T2&lt;&gt;0), T9/T2, " ")</f>
      </c>
      <c r="U33" s="4">
        <f>IF(AND(COUNT(U2,U9)=2, U2&lt;&gt;0), U9/U2, " ")</f>
      </c>
      <c r="V33" s="4">
        <f>IF(AND(COUNT(V2,V9)=2, V2&lt;&gt;0), V9/V2, " ")</f>
      </c>
      <c r="W33" s="4">
        <f>IF(AND(COUNT(W2,W9)=2, W2&lt;&gt;0), W9/W2, " ")</f>
      </c>
      <c r="X33" s="4">
        <f>IF(AND(COUNT(X2,X9)=2, X2&lt;&gt;0), X9/X2, " ")</f>
      </c>
      <c r="Y33" s="4">
        <f>IF(AND(COUNT(Y2,Y9)=2, Y2&lt;&gt;0), Y9/Y2, " ")</f>
      </c>
      <c r="Z33">
        <f>IF(AND(COUNT(Z2,Z9)=2, Z2&lt;&gt;0), Z9/Z2, " ")</f>
      </c>
    </row>
    <row r="34" spans="1:26" x14ac:dyDescent="0.25">
      <c r="A34" s="2" t="s">
        <v>31</v>
      </c>
      <c r="B34" s="4">
        <f>IF(AND(COUNT(B15,B15)=2, B15&lt;&gt;0), B16/B15, " ")</f>
      </c>
      <c r="C34" s="4">
        <f>IF(AND(COUNT(C15,C15)=2, C15&lt;&gt;0), C16/C15, " ")</f>
      </c>
      <c r="D34" s="4">
        <f>IF(AND(COUNT(D15,D15)=2, D15&lt;&gt;0), D16/D15, " ")</f>
      </c>
      <c r="E34" s="4">
        <f>IF(AND(COUNT(E15,E15)=2, E15&lt;&gt;0), E16/E15, " ")</f>
      </c>
      <c r="F34" s="4">
        <f>IF(AND(COUNT(F15,F15)=2, F15&lt;&gt;0), F16/F15, " ")</f>
      </c>
      <c r="G34" s="4">
        <f>IF(AND(COUNT(G15,G15)=2, G15&lt;&gt;0), G16/G15, " ")</f>
      </c>
      <c r="H34" s="4">
        <f>IF(AND(COUNT(H15,H15)=2, H15&lt;&gt;0), H16/H15, " ")</f>
      </c>
      <c r="I34" s="4">
        <f>IF(AND(COUNT(I15,I15)=2, I15&lt;&gt;0), I16/I15, " ")</f>
      </c>
      <c r="J34" s="4">
        <f>IF(AND(COUNT(J15,J15)=2, J15&lt;&gt;0), J16/J15, " ")</f>
      </c>
      <c r="K34" s="4">
        <f>IF(AND(COUNT(K15,K15)=2, K15&lt;&gt;0), K16/K15, " ")</f>
      </c>
      <c r="L34" s="4">
        <f>IF(AND(COUNT(L15,L15)=2, L15&lt;&gt;0), L16/L15, " ")</f>
      </c>
      <c r="M34" s="4">
        <f>IF(AND(COUNT(M15,M15)=2, M15&lt;&gt;0), M16/M15, " ")</f>
      </c>
      <c r="N34" s="4">
        <f>IF(AND(COUNT(N15,N15)=2, N15&lt;&gt;0), N16/N15, " ")</f>
      </c>
      <c r="O34" s="4">
        <f>IF(AND(COUNT(O15,O15)=2, O15&lt;&gt;0), O16/O15, " ")</f>
      </c>
      <c r="P34" s="4">
        <f>IF(AND(COUNT(P15,P15)=2, P15&lt;&gt;0), P16/P15, " ")</f>
      </c>
      <c r="Q34" s="4">
        <f>IF(AND(COUNT(Q15,Q15)=2, Q15&lt;&gt;0), Q16/Q15, " ")</f>
      </c>
      <c r="R34" s="4">
        <f>IF(AND(COUNT(R15,R15)=2, R15&lt;&gt;0), R16/R15, " ")</f>
      </c>
      <c r="S34" s="4">
        <f>IF(AND(COUNT(S15,S15)=2, S15&lt;&gt;0), S16/S15, " ")</f>
      </c>
      <c r="T34" s="4">
        <f>IF(AND(COUNT(T15,T15)=2, T15&lt;&gt;0), T16/T15, " ")</f>
      </c>
      <c r="U34" s="4">
        <f>IF(AND(COUNT(U15,U15)=2, U15&lt;&gt;0), U16/U15, " ")</f>
      </c>
      <c r="V34" s="4">
        <f>IF(AND(COUNT(V15,V15)=2, V15&lt;&gt;0), V16/V15, " ")</f>
      </c>
      <c r="W34" s="4">
        <f>IF(AND(COUNT(W15,W15)=2, W15&lt;&gt;0), W16/W15, " ")</f>
      </c>
      <c r="X34" s="4">
        <f>IF(AND(COUNT(X15,X15)=2, X15&lt;&gt;0), X16/X15, " ")</f>
      </c>
      <c r="Y34" s="4">
        <f>IF(AND(COUNT(Y15,Y15)=2, Y15&lt;&gt;0), Y16/Y15, " ")</f>
      </c>
      <c r="Z34">
        <f>IF(AND(COUNT(Z15,Z15)=2, Z15&lt;&gt;0), Z16/Z15, " ")</f>
      </c>
    </row>
    <row r="35" spans="1:26" x14ac:dyDescent="0.25">
      <c r="A35" s="2" t="s">
        <v>32</v>
      </c>
      <c r="B35" s="4">
        <f>IF(AND(COUNT(B22,B2)=2, B2&lt;&gt;0), B22/B2, " ")</f>
      </c>
      <c r="C35" s="4">
        <f>IF(AND(COUNT(C22,C2)=2, C2&lt;&gt;0), C22/C2, " ")</f>
      </c>
      <c r="D35" s="4">
        <f>IF(AND(COUNT(D22,D2)=2, D2&lt;&gt;0), D22/D2, " ")</f>
      </c>
      <c r="E35" s="4">
        <f>IF(AND(COUNT(E22,E2)=2, E2&lt;&gt;0), E22/E2, " ")</f>
      </c>
      <c r="F35" s="4">
        <f>IF(AND(COUNT(F22,F2)=2, F2&lt;&gt;0), F22/F2, " ")</f>
      </c>
      <c r="G35" s="4">
        <f>IF(AND(COUNT(G22,G2)=2, G2&lt;&gt;0), G22/G2, " ")</f>
      </c>
      <c r="H35" s="4">
        <f>IF(AND(COUNT(H22,H2)=2, H2&lt;&gt;0), H22/H2, " ")</f>
      </c>
      <c r="I35" s="4">
        <f>IF(AND(COUNT(I22,I2)=2, I2&lt;&gt;0), I22/I2, " ")</f>
      </c>
      <c r="J35" s="4">
        <f>IF(AND(COUNT(J22,J2)=2, J2&lt;&gt;0), J22/J2, " ")</f>
      </c>
      <c r="K35" s="4">
        <f>IF(AND(COUNT(K22,K2)=2, K2&lt;&gt;0), K22/K2, " ")</f>
      </c>
      <c r="L35" s="4">
        <f>IF(AND(COUNT(L22,L2)=2, L2&lt;&gt;0), L22/L2, " ")</f>
      </c>
      <c r="M35" s="4">
        <f>IF(AND(COUNT(M22,M2)=2, M2&lt;&gt;0), M22/M2, " ")</f>
      </c>
      <c r="N35" s="4">
        <f>IF(AND(COUNT(N22,N2)=2, N2&lt;&gt;0), N22/N2, " ")</f>
      </c>
      <c r="O35" s="4">
        <f>IF(AND(COUNT(O22,O2)=2, O2&lt;&gt;0), O22/O2, " ")</f>
      </c>
      <c r="P35" s="4">
        <f>IF(AND(COUNT(P22,P2)=2, P2&lt;&gt;0), P22/P2, " ")</f>
      </c>
      <c r="Q35" s="4">
        <f>IF(AND(COUNT(Q22,Q2)=2, Q2&lt;&gt;0), Q22/Q2, " ")</f>
      </c>
      <c r="R35" s="4">
        <f>IF(AND(COUNT(R22,R2)=2, R2&lt;&gt;0), R22/R2, " ")</f>
      </c>
      <c r="S35" s="4">
        <f>IF(AND(COUNT(S22,S2)=2, S2&lt;&gt;0), S22/S2, " ")</f>
      </c>
      <c r="T35" s="4">
        <f>IF(AND(COUNT(T22,T2)=2, T2&lt;&gt;0), T22/T2, " ")</f>
      </c>
      <c r="U35" s="4">
        <f>IF(AND(COUNT(U22,U2)=2, U2&lt;&gt;0), U22/U2, " ")</f>
      </c>
      <c r="V35" s="4">
        <f>IF(AND(COUNT(V22,V2)=2, V2&lt;&gt;0), V22/V2, " ")</f>
      </c>
      <c r="W35" s="4">
        <f>IF(AND(COUNT(W22,W2)=2, W2&lt;&gt;0), W22/W2, " ")</f>
      </c>
      <c r="X35" s="4">
        <f>IF(AND(COUNT(X22,X2)=2, X2&lt;&gt;0), X22/X2, " ")</f>
      </c>
      <c r="Y35" s="4">
        <f>IF(AND(COUNT(Y22,Y2)=2, Y2&lt;&gt;0), Y22/Y2, " ")</f>
      </c>
      <c r="Z35">
        <f>IF(AND(COUNT(Z22,Z2)=2, Z2&lt;&gt;0), Z22/Z2, " ")</f>
      </c>
    </row>
    <row r="36" spans="1:26" x14ac:dyDescent="0.25">
      <c r="A36" s="2" t="s">
        <v>33</v>
      </c>
      <c r="B36" s="4"/>
      <c r="C36" s="4">
        <f>IF(AND(COUNT(B29,C29)=2, C29&lt;&gt;0, B2&lt;&gt;0), C27/B29-1, " ")</f>
      </c>
      <c r="D36" s="4">
        <f>IF(AND(COUNT(C29,D29)=2, D29&lt;&gt;0, C2&lt;&gt;0), D27/C29-1, " ")</f>
      </c>
      <c r="E36" s="4">
        <f>IF(AND(COUNT(D29,E29)=2, E29&lt;&gt;0, D2&lt;&gt;0), E27/D29-1, " ")</f>
      </c>
      <c r="F36" s="4">
        <f>IF(AND(COUNT(E29,F29)=2, F29&lt;&gt;0, E2&lt;&gt;0), F27/E29-1, " ")</f>
      </c>
      <c r="G36" s="4">
        <f>IF(AND(COUNT(F29,G29)=2, G29&lt;&gt;0, F2&lt;&gt;0), G27/F29-1, " ")</f>
      </c>
      <c r="H36" s="4">
        <f>IF(AND(COUNT(G29,H29)=2, H29&lt;&gt;0, G2&lt;&gt;0), H27/G29-1, " ")</f>
      </c>
      <c r="I36" s="4">
        <f>IF(AND(COUNT(H29,I29)=2, I29&lt;&gt;0, H2&lt;&gt;0), I27/H29-1, " ")</f>
      </c>
      <c r="J36" s="4">
        <f>IF(AND(COUNT(I29,J29)=2, J29&lt;&gt;0, I2&lt;&gt;0), J27/I29-1, " ")</f>
      </c>
      <c r="K36" s="4">
        <f>IF(AND(COUNT(J29,K29)=2, K29&lt;&gt;0, J2&lt;&gt;0), K27/J29-1, " ")</f>
      </c>
      <c r="L36" s="4">
        <f>IF(AND(COUNT(K29,L29)=2, L29&lt;&gt;0, K2&lt;&gt;0), L27/K29-1, " ")</f>
      </c>
      <c r="M36" s="4">
        <f>IF(AND(COUNT(L29,M29)=2, M29&lt;&gt;0, L2&lt;&gt;0), M27/L29-1, " ")</f>
      </c>
      <c r="N36" s="4">
        <f>IF(AND(COUNT(M29,N29)=2, N29&lt;&gt;0, M2&lt;&gt;0), N27/M29-1, " ")</f>
      </c>
      <c r="O36" s="4">
        <f>IF(AND(COUNT(N29,O29)=2, O29&lt;&gt;0, N2&lt;&gt;0), O27/N29-1, " ")</f>
      </c>
      <c r="P36" s="4">
        <f>IF(AND(COUNT(O29,P29)=2, P29&lt;&gt;0, O2&lt;&gt;0), P27/O29-1, " ")</f>
      </c>
      <c r="Q36" s="4">
        <f>IF(AND(COUNT(P29,Q29)=2, Q29&lt;&gt;0, P2&lt;&gt;0), Q27/P29-1, " ")</f>
      </c>
      <c r="R36" s="4">
        <f>IF(AND(COUNT(Q29,R29)=2, R29&lt;&gt;0, Q2&lt;&gt;0), R27/Q29-1, " ")</f>
      </c>
      <c r="S36" s="4">
        <f>IF(AND(COUNT(R29,S29)=2, S29&lt;&gt;0, R2&lt;&gt;0), S27/R29-1, " ")</f>
      </c>
      <c r="T36" s="4">
        <f>IF(AND(COUNT(S29,T29)=2, T29&lt;&gt;0, S2&lt;&gt;0), T27/S29-1, " ")</f>
      </c>
      <c r="U36" s="4">
        <f>IF(AND(COUNT(T29,U29)=2, U29&lt;&gt;0, T2&lt;&gt;0), U27/T29-1, " ")</f>
      </c>
      <c r="V36" s="4">
        <f>IF(AND(COUNT(U29,V29)=2, V29&lt;&gt;0, U2&lt;&gt;0), V27/U29-1, " ")</f>
      </c>
      <c r="W36" s="4">
        <f>IF(AND(COUNT(V29,W29)=2, W29&lt;&gt;0, V2&lt;&gt;0), W27/V29-1, " ")</f>
      </c>
      <c r="X36" s="4">
        <f>IF(AND(COUNT(W29,X29)=2, X29&lt;&gt;0, W2&lt;&gt;0), X27/W29-1, " ")</f>
      </c>
      <c r="Y36" s="4">
        <f>IF(AND(COUNT(X29,Y29)=2, Y29&lt;&gt;0, X2&lt;&gt;0), Y27/X29-1, " ")</f>
      </c>
      <c r="Z36">
        <f>IF(AND(COUNT(Y29,Z29)=2, Z29&lt;&gt;0, Y2&lt;&gt;0), Z27/Y29-1, " ")</f>
      </c>
    </row>
    <row r="37" spans="1:25" x14ac:dyDescent="0.25">
      <c r="A37" s="2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1854</v>
      </c>
      <c r="C38" s="3">
        <v>1663</v>
      </c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v>76188</v>
      </c>
      <c r="C39" s="3">
        <v>79843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  <row r="40" spans="1:25" x14ac:dyDescent="0.25">
      <c r="A40" s="2" t="s">
        <v>36</v>
      </c>
      <c r="B40" s="3">
        <v>16841</v>
      </c>
      <c r="C40" s="3">
        <v>19566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</row>
    <row r="41" spans="1:25" x14ac:dyDescent="0.25">
      <c r="A41" s="2" t="s">
        <v>37</v>
      </c>
      <c r="B41" s="3">
        <f>B39-B40</f>
      </c>
      <c r="C41" s="3">
        <f>C39-C40</f>
      </c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38</v>
      </c>
    </row>
    <row r="3" spans="1:3" x14ac:dyDescent="0.25">
      <c r="A3" t="s">
        <v>39</v>
      </c>
      <c r="B3">
        <f>MATCH("Free Cash Flow to Firm", Financials!A:A, 0)</f>
      </c>
      <c r="C3" t="s">
        <v>40</v>
      </c>
    </row>
    <row r="4" spans="1:2" x14ac:dyDescent="0.25">
      <c r="A4" t="s">
        <v>41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42</v>
      </c>
      <c r="B6" s="4"/>
      <c r="C6" t="s">
        <v>43</v>
      </c>
    </row>
    <row r="7" spans="1:3" x14ac:dyDescent="0.25">
      <c r="A7" s="2" t="s">
        <v>44</v>
      </c>
      <c r="B7" s="4"/>
      <c r="C7" t="s">
        <v>45</v>
      </c>
    </row>
    <row r="8" spans="1:4" x14ac:dyDescent="0.25">
      <c r="A8" s="2" t="s">
        <v>46</v>
      </c>
      <c r="C8" t="s">
        <v>47</v>
      </c>
      <c r="D8" t="s">
        <v>48</v>
      </c>
    </row>
    <row r="9" spans="1:4" x14ac:dyDescent="0.25">
      <c r="A9" s="2" t="s">
        <v>49</v>
      </c>
      <c r="B9" s="4"/>
      <c r="C9" t="s">
        <v>50</v>
      </c>
      <c r="D9" t="s">
        <v>51</v>
      </c>
    </row>
    <row r="10" spans="1:4" x14ac:dyDescent="0.25">
      <c r="A10" s="2" t="s">
        <v>52</v>
      </c>
      <c r="B10" s="4"/>
      <c r="C10" t="s">
        <v>53</v>
      </c>
      <c r="D10" t="s">
        <v>54</v>
      </c>
    </row>
    <row r="11" spans="1:2" x14ac:dyDescent="0.25">
      <c r="A11" s="2" t="s">
        <v>55</v>
      </c>
      <c r="B11" s="4">
        <f>B10+B9*B8</f>
      </c>
    </row>
    <row r="12" spans="1:3" x14ac:dyDescent="0.25">
      <c r="A12" s="2" t="s">
        <v>56</v>
      </c>
      <c r="B12" s="4"/>
      <c r="C12" t="s">
        <v>57</v>
      </c>
    </row>
    <row r="13" spans="1:4" x14ac:dyDescent="0.25">
      <c r="A13" s="2" t="s">
        <v>58</v>
      </c>
      <c r="B13" s="3"/>
      <c r="C13" t="s">
        <v>59</v>
      </c>
      <c r="D13" t="s">
        <v>48</v>
      </c>
    </row>
    <row r="14" spans="1:3" x14ac:dyDescent="0.25">
      <c r="A14" s="2" t="s">
        <v>60</v>
      </c>
      <c r="B14" s="3"/>
      <c r="C14" t="s">
        <v>61</v>
      </c>
    </row>
    <row r="15" spans="1:2" x14ac:dyDescent="0.25">
      <c r="A15" t="s">
        <v>62</v>
      </c>
      <c r="B15" s="4">
        <f>IF(B13+B14&lt;&gt;0,((B13/(B13+B14))*B11)+((B14/(B13+B14))*B12*B7), 0)</f>
      </c>
    </row>
    <row r="16" spans="1:2" x14ac:dyDescent="0.25">
      <c r="A16" t="s">
        <v>63</v>
      </c>
      <c r="B16" s="4">
        <f>IF(B4-NOW()&gt;=0, MIN(YEARFRAC(NOW(),B4),1), 0)</f>
      </c>
    </row>
    <row r="17" spans="1:2" x14ac:dyDescent="0.25">
      <c r="A17" t="s">
        <v>64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65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66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67</v>
      </c>
      <c r="B20" s="3"/>
      <c r="C20" t="s">
        <v>68</v>
      </c>
    </row>
    <row r="21" spans="1:4" x14ac:dyDescent="0.25">
      <c r="A21" s="2" t="s">
        <v>69</v>
      </c>
      <c r="B21" s="3"/>
      <c r="C21" t="s">
        <v>59</v>
      </c>
      <c r="D21" t="s">
        <v>48</v>
      </c>
    </row>
    <row r="22" spans="1:2" x14ac:dyDescent="0.25">
      <c r="A22" t="s">
        <v>70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2023-12-24T11:00:38Z</cp:lastPrinted>
  <dcterms:created xsi:type="dcterms:W3CDTF">2023-12-24T11:00:38Z</dcterms:created>
  <dcterms:modified xsi:type="dcterms:W3CDTF">2023-12-24T11:00:38Z</dcterms:modified>
</cp:coreProperties>
</file>