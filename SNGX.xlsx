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<sst xmlns="http://schemas.openxmlformats.org/spreadsheetml/2006/main" count="74" uniqueCount="70">
  <si>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</si>
  <si>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</si>
  <si>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</si>
  <si>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</si>
  <si>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</si>
  <si>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</si>
  <si>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</si>
  <si>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</si>
  <si>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</si>
  <si>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</si>
  <si>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</si>
  <si>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</si>
  <si>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</si>
  <si>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</si>
  <si>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</si>
  <si>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</si>
  <si>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</si>
  <si>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</si>
  <si>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</si>
  <si>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</si>
  <si>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</si>
  <si>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</si>
  <si>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</si>
  <si>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</si>
  <si>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</si>
  <si>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</si>
  <si>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</si>
  <si>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</si>
  <si>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</si>
  <si>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</si>
  <si>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</si>
  <si>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</si>
  <si>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</si>
  <si>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</si>
  <si>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</si>
  <si>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</si>
  <si>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</si>
  <si>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</si>
  <si>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</si>
  <si>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</si>
  <si>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</si>
  <si>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</si>
  <si>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</si>
  <si>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</si>
  <si>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</si>
  <si>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</si>
  <si>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</si>
  <si>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https://finance.yahoo.com/quote/SNGX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</si>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</sst>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NG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NGX" TargetMode="External"/><Relationship Id="rId5" Type="http://schemas.openxmlformats.org/officeDocument/2006/relationships/hyperlink" Target="https://finance.yahoo.com/quote/SNG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1947628</v>
      </c>
      <c r="C2" s="3">
        <v>7662822</v>
      </c>
      <c r="D2" s="3">
        <v>3144620</v>
      </c>
      <c r="E2" s="3">
        <v>3224152</v>
      </c>
      <c r="F2" s="3">
        <v>7043016</v>
      </c>
      <c r="G2" s="3">
        <v>8768390</v>
      </c>
      <c r="H2" s="3">
        <v>10448794</v>
      </c>
      <c r="I2" s="3">
        <v>5432472</v>
      </c>
      <c r="J2" s="3">
        <v>5241448</v>
      </c>
      <c r="K2" s="3">
        <v>4629916</v>
      </c>
      <c r="L2" s="3">
        <v>2359447</v>
      </c>
      <c r="M2" s="3">
        <v>824268</v>
      </c>
      <c r="N2" s="3">
        <v>948911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1638402</v>
      </c>
      <c r="C3" s="3">
        <v>2108228</v>
      </c>
      <c r="D3" s="3">
        <v>2593075</v>
      </c>
      <c r="E3" s="3">
        <v>2544285</v>
      </c>
      <c r="F3" s="3">
        <v>5313855</v>
      </c>
      <c r="G3" s="3">
        <v>6882204</v>
      </c>
      <c r="H3" s="3">
        <v>8433671</v>
      </c>
      <c r="I3" s="3">
        <v>4310083</v>
      </c>
      <c r="J3" s="3">
        <v>4597715</v>
      </c>
      <c r="K3" s="3">
        <v>3567415</v>
      </c>
      <c r="L3" s="3">
        <v>1820949</v>
      </c>
      <c r="M3" s="3">
        <v>728640</v>
      </c>
      <c r="N3" s="3">
        <v>550822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5986405</v>
      </c>
      <c r="C5" s="3">
        <v>6272616</v>
      </c>
      <c r="D5" s="3">
        <v>2609241</v>
      </c>
      <c r="E5" s="3">
        <v>5071179</v>
      </c>
      <c r="F5" s="3">
        <v>5086535</v>
      </c>
      <c r="G5" s="3">
        <v>5399839</v>
      </c>
      <c r="H5" s="3">
        <v>4295867</v>
      </c>
      <c r="I5" s="3">
        <v>5507033</v>
      </c>
      <c r="J5" s="3">
        <v>6750954</v>
      </c>
      <c r="K5" s="3">
        <v>8122610</v>
      </c>
      <c r="L5" s="3">
        <v>9796167</v>
      </c>
      <c r="M5" s="3">
        <v>8185850</v>
      </c>
      <c r="N5" s="3">
        <v>7944089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2201242</v>
      </c>
      <c r="C6" s="3">
        <v>2242173</v>
      </c>
      <c r="D6" s="3">
        <v>2632972</v>
      </c>
      <c r="E6" s="3">
        <v>2765230</v>
      </c>
      <c r="F6" s="3">
        <v>3403975</v>
      </c>
      <c r="G6" s="3">
        <v>3596623</v>
      </c>
      <c r="H6" s="3">
        <v>3428838</v>
      </c>
      <c r="I6" s="3">
        <v>3209155</v>
      </c>
      <c r="J6" s="3">
        <v>2951760</v>
      </c>
      <c r="K6" s="3">
        <v>3480912</v>
      </c>
      <c r="L6" s="3">
        <v>4328838</v>
      </c>
      <c r="M6" s="3">
        <v>5008738</v>
      </c>
      <c r="N6" s="3">
        <v>6692904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4000000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5000000</v>
      </c>
      <c r="M7" s="3">
        <v>0</v>
      </c>
      <c r="N7" s="3">
        <v>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12074</v>
      </c>
      <c r="C10" s="3">
        <v>7444</v>
      </c>
      <c r="D10" s="3">
        <v>6202</v>
      </c>
      <c r="E10" s="3">
        <v>1960</v>
      </c>
      <c r="F10" s="3">
        <v>1310</v>
      </c>
      <c r="G10" s="3"/>
      <c r="H10" s="3"/>
      <c r="I10" s="3"/>
      <c r="J10" s="3">
        <v>158569</v>
      </c>
      <c r="K10" s="3">
        <v>148968</v>
      </c>
      <c r="L10" s="3"/>
      <c r="M10" s="3"/>
      <c r="N10" s="3"/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/>
      <c r="H11" s="3"/>
      <c r="I11" s="3"/>
      <c r="J11" s="3">
        <v>0</v>
      </c>
      <c r="K11" s="3">
        <v>0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12074</v>
      </c>
      <c r="C12" s="3">
        <v>7444</v>
      </c>
      <c r="D12" s="3">
        <v>6202</v>
      </c>
      <c r="E12" s="3">
        <v>1960</v>
      </c>
      <c r="F12" s="3">
        <v>1310</v>
      </c>
      <c r="G12" s="3">
        <v>0</v>
      </c>
      <c r="H12" s="3">
        <v>0</v>
      </c>
      <c r="I12" s="3">
        <v>0</v>
      </c>
      <c r="J12" s="3">
        <v>158569</v>
      </c>
      <c r="K12" s="3">
        <v>148968</v>
      </c>
      <c r="L12" s="3">
        <v>0</v>
      </c>
      <c r="M12" s="3">
        <v>-904502</v>
      </c>
      <c r="N12" s="3">
        <v>-822611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2" t="s">
        <v>12</v>
      </c>
      <c r="B13" s="3">
        <v>233958</v>
      </c>
      <c r="C13" s="3">
        <v>0</v>
      </c>
      <c r="D13" s="3">
        <v>0</v>
      </c>
      <c r="E13" s="3">
        <v>-3654770</v>
      </c>
      <c r="F13" s="3">
        <v>3436195</v>
      </c>
      <c r="G13" s="3">
        <v>-1209887</v>
      </c>
      <c r="H13" s="3">
        <v>1934056</v>
      </c>
      <c r="I13" s="3">
        <v>29906</v>
      </c>
      <c r="J13" s="3">
        <v>437</v>
      </c>
      <c r="K13" s="3">
        <v>425785</v>
      </c>
      <c r="L13" s="3">
        <v>61092</v>
      </c>
      <c r="M13" s="3">
        <v>587747</v>
      </c>
      <c r="N13" s="3">
        <v>108241</v>
      </c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>
        <f>Z12+Z13</f>
      </c>
    </row>
    <row r="15" spans="1:2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>
        <f>Z9+Z14-Z15</f>
      </c>
    </row>
    <row r="17" spans="1:25" x14ac:dyDescent="0.25">
      <c r="A17" s="2" t="s">
        <v>16</v>
      </c>
      <c r="B17" s="3">
        <v>-245810</v>
      </c>
      <c r="C17" s="3">
        <v>-574157</v>
      </c>
      <c r="D17" s="3">
        <v>-521458</v>
      </c>
      <c r="E17" s="3">
        <v>-750356</v>
      </c>
      <c r="F17" s="3">
        <v>-616872</v>
      </c>
      <c r="G17" s="3">
        <v>-488933</v>
      </c>
      <c r="H17" s="3">
        <v>-530143</v>
      </c>
      <c r="I17" s="3">
        <v>-416810</v>
      </c>
      <c r="J17" s="3">
        <v>0</v>
      </c>
      <c r="K17" s="3">
        <v>-610676</v>
      </c>
      <c r="L17" s="3">
        <v>-836893</v>
      </c>
      <c r="M17" s="3">
        <v>-864742</v>
      </c>
      <c r="N17" s="3">
        <v>-1154935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>
        <f>Z16-Z17+Z18-Z19+Z20+Z21</f>
      </c>
    </row>
    <row r="23" spans="1:2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185696</v>
      </c>
      <c r="C24" s="3">
        <v>226027</v>
      </c>
      <c r="D24" s="3">
        <v>230630</v>
      </c>
      <c r="E24" s="3">
        <v>230071</v>
      </c>
      <c r="F24" s="3">
        <v>245787</v>
      </c>
      <c r="G24" s="3">
        <v>247458</v>
      </c>
      <c r="H24" s="3">
        <v>89928</v>
      </c>
      <c r="I24" s="3">
        <v>68563</v>
      </c>
      <c r="J24" s="3">
        <v>44060</v>
      </c>
      <c r="K24" s="3">
        <v>54450</v>
      </c>
      <c r="L24" s="3">
        <v>62372</v>
      </c>
      <c r="M24" s="3">
        <v>34161</v>
      </c>
      <c r="N24" s="3">
        <v>0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2" t="s">
        <v>23</v>
      </c>
      <c r="B25" s="3">
        <v>571545</v>
      </c>
      <c r="C25" s="3">
        <v>715805</v>
      </c>
      <c r="D25" s="3">
        <v>462170</v>
      </c>
      <c r="E25" s="3">
        <v>803060</v>
      </c>
      <c r="F25" s="3">
        <v>720150</v>
      </c>
      <c r="G25" s="3">
        <v>654481</v>
      </c>
      <c r="H25" s="3">
        <v>574977</v>
      </c>
      <c r="I25" s="3">
        <v>489787</v>
      </c>
      <c r="J25" s="3">
        <v>380886</v>
      </c>
      <c r="K25" s="3">
        <v>376339</v>
      </c>
      <c r="L25" s="3">
        <v>409933</v>
      </c>
      <c r="M25" s="3">
        <v>361559</v>
      </c>
      <c r="N25" s="3">
        <v>333389</v>
      </c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2" t="s">
        <v>24</v>
      </c>
      <c r="B26" s="3">
        <v>898756</v>
      </c>
      <c r="C26" s="3">
        <v>-514976</v>
      </c>
      <c r="D26" s="3">
        <v>6105741</v>
      </c>
      <c r="E26" s="3">
        <v>4568892</v>
      </c>
      <c r="F26" s="3">
        <v>3274306</v>
      </c>
      <c r="G26" s="3">
        <v>1542983</v>
      </c>
      <c r="H26" s="3">
        <v>-2401943</v>
      </c>
      <c r="I26" s="3">
        <v>78166</v>
      </c>
      <c r="J26" s="3">
        <v>1230398</v>
      </c>
      <c r="K26" s="3">
        <v>1415236</v>
      </c>
      <c r="L26" s="3">
        <v>5761791</v>
      </c>
      <c r="M26" s="3">
        <v>415633</v>
      </c>
      <c r="N26" s="3">
        <v>815929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>
        <f>Z22+Z24+Z25+Z26</f>
      </c>
    </row>
    <row r="28" spans="1:25" x14ac:dyDescent="0.25">
      <c r="A28" s="2" t="s">
        <v>26</v>
      </c>
      <c r="B28" s="3">
        <v>336424</v>
      </c>
      <c r="C28" s="3">
        <v>152664</v>
      </c>
      <c r="D28" s="3">
        <v>4755</v>
      </c>
      <c r="E28" s="3">
        <v>17728</v>
      </c>
      <c r="F28" s="3">
        <v>50866</v>
      </c>
      <c r="G28" s="3">
        <v>22098</v>
      </c>
      <c r="H28" s="3">
        <v>7159</v>
      </c>
      <c r="I28" s="3">
        <v>26348</v>
      </c>
      <c r="J28" s="3">
        <v>925</v>
      </c>
      <c r="K28" s="3">
        <v>24709</v>
      </c>
      <c r="L28" s="3">
        <v>7147</v>
      </c>
      <c r="M28" s="3">
        <v>11789</v>
      </c>
      <c r="N28" s="3">
        <v>13073</v>
      </c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>
        <f>Z27-Z28</f>
      </c>
    </row>
    <row r="30" spans="1:2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>
        <f>IF(AND(COUNT(Y29,Z29)=2, Z29&lt;&gt;0, Y2&lt;&gt;0), Z27/Y29-1, " ")</f>
      </c>
    </row>
    <row r="37" spans="1:2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20699</v>
      </c>
      <c r="C38" s="3">
        <v>15032</v>
      </c>
      <c r="D38" s="3">
        <v>12995</v>
      </c>
      <c r="E38" s="3">
        <v>23868</v>
      </c>
      <c r="F38" s="3">
        <v>51510</v>
      </c>
      <c r="G38" s="3">
        <v>47366</v>
      </c>
      <c r="H38" s="3">
        <v>26702</v>
      </c>
      <c r="I38" s="3">
        <v>37163</v>
      </c>
      <c r="J38" s="3">
        <v>19634</v>
      </c>
      <c r="K38" s="3">
        <v>36093</v>
      </c>
      <c r="L38" s="3">
        <v>23510</v>
      </c>
      <c r="M38" s="3">
        <v>22220</v>
      </c>
      <c r="N38" s="3">
        <v>18481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v>9268547</v>
      </c>
      <c r="C39" s="3">
        <v>8223658</v>
      </c>
      <c r="D39" s="3">
        <v>4705104</v>
      </c>
      <c r="E39" s="3">
        <v>8265455</v>
      </c>
      <c r="F39" s="3">
        <v>6954248</v>
      </c>
      <c r="G39" s="3">
        <v>7387122</v>
      </c>
      <c r="H39" s="3">
        <v>10267105</v>
      </c>
      <c r="I39" s="3">
        <v>9549651</v>
      </c>
      <c r="J39" s="3">
        <v>10491702</v>
      </c>
      <c r="K39" s="3">
        <v>7775360</v>
      </c>
      <c r="L39" s="3">
        <v>19891235</v>
      </c>
      <c r="M39" s="3">
        <v>26869927</v>
      </c>
      <c r="N39" s="3">
        <v>14279717</v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2" t="s">
        <v>36</v>
      </c>
      <c r="B40" s="3">
        <v>1910756</v>
      </c>
      <c r="C40" s="3">
        <v>1432616</v>
      </c>
      <c r="D40" s="3">
        <v>1153998</v>
      </c>
      <c r="E40" s="3">
        <v>10035276</v>
      </c>
      <c r="F40" s="3">
        <v>7108137</v>
      </c>
      <c r="G40" s="3">
        <v>7405431</v>
      </c>
      <c r="H40" s="3">
        <v>2869857</v>
      </c>
      <c r="I40" s="3">
        <v>3229939</v>
      </c>
      <c r="J40" s="3">
        <v>4211532</v>
      </c>
      <c r="K40" s="3">
        <v>6318225</v>
      </c>
      <c r="L40" s="3">
        <v>16149407</v>
      </c>
      <c r="M40" s="3">
        <v>16147329</v>
      </c>
      <c r="N40" s="3">
        <v>16750543</v>
      </c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>
        <f>L39-L40</f>
      </c>
      <c r="M41" s="3">
        <f>M39-M40</f>
      </c>
      <c r="N41" s="3">
        <f>N39-N40</f>
      </c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2023-12-24T10:58:19Z</cp:lastPrinted>
  <dcterms:created xsi:type="dcterms:W3CDTF">2023-12-24T10:58:19Z</dcterms:created>
  <dcterms:modified xsi:type="dcterms:W3CDTF">2023-12-24T10:58:19Z</dcterms:modified>
</cp:coreProperties>
</file>