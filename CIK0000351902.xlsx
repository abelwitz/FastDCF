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<sst xmlns="http://schemas.openxmlformats.org/spreadsheetml/2006/main" count="72" uniqueCount="68">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</sst>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819031000</v>
      </c>
      <c r="C2">
        <v>1019871000</v>
      </c>
      <c r="D2">
        <v>1081930000</v>
      </c>
      <c r="E2">
        <v>1152479000</v>
      </c>
      <c r="F2">
        <v>1145134000</v>
      </c>
      <c r="G2">
        <v>1346731000</v>
      </c>
      <c r="H2">
        <v>1279593000</v>
      </c>
      <c r="I2">
        <v>783972000</v>
      </c>
      <c r="J2">
        <v>678290000</v>
      </c>
      <c r="K2">
        <v>26838000</v>
      </c>
      <c r="L2">
        <v>198479000</v>
      </c>
      <c r="M2">
        <v>221293000</v>
      </c>
    </row>
    <row r="3" spans="1:13" x14ac:dyDescent="0.25">
      <c r="A3" t="s">
        <v>2</v>
      </c>
      <c r="B3">
        <v>713922000</v>
      </c>
      <c r="C3">
        <v>898627000</v>
      </c>
      <c r="D3">
        <v>957327000</v>
      </c>
      <c r="E3">
        <v>1050681000</v>
      </c>
      <c r="F3">
        <v>1034772000</v>
      </c>
      <c r="G3">
        <v>1220779000</v>
      </c>
      <c r="H3">
        <v>1134506000</v>
      </c>
      <c r="I3">
        <v>713441000</v>
      </c>
      <c r="J3">
        <v>656093000</v>
      </c>
      <c r="K3">
        <v>0</v>
      </c>
      <c r="L3">
        <v>175123000</v>
      </c>
      <c r="M3">
        <v>193076000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88337000</v>
      </c>
      <c r="C6">
        <v>82176000</v>
      </c>
      <c r="D6">
        <v>77708000</v>
      </c>
      <c r="E6">
        <v>69033000</v>
      </c>
      <c r="F6">
        <v>85754000</v>
      </c>
      <c r="G6">
        <v>98681000</v>
      </c>
      <c r="H6">
        <v>127507000</v>
      </c>
      <c r="I6">
        <v>82517000</v>
      </c>
      <c r="J6">
        <v>80603000</v>
      </c>
      <c r="K6">
        <v>0</v>
      </c>
      <c r="L6">
        <v>16487000</v>
      </c>
      <c r="M6">
        <v>22144000</v>
      </c>
    </row>
    <row r="7" spans="1:13" x14ac:dyDescent="0.25">
      <c r="A7" t="s">
        <v>6</v>
      </c>
      <c r="B7">
        <v>15211000</v>
      </c>
      <c r="C7">
        <v>2467000</v>
      </c>
      <c r="D7">
        <v>5799000</v>
      </c>
      <c r="E7">
        <v>7214000</v>
      </c>
      <c r="F7">
        <v>15461000</v>
      </c>
      <c r="G7">
        <v>58357000</v>
      </c>
      <c r="H7">
        <v>155473000</v>
      </c>
      <c r="I7">
        <v>95929000</v>
      </c>
      <c r="J7">
        <v>-74990000</v>
      </c>
      <c r="K7">
        <v>30713000</v>
      </c>
      <c r="L7">
        <v>4120000</v>
      </c>
      <c r="M7">
        <v>929000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v>247000</v>
      </c>
      <c r="E10">
        <v>269000</v>
      </c>
      <c r="F10">
        <v>186000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v>79000</v>
      </c>
      <c r="I10">
        <v>116000</v>
      </c>
      <c r="J10">
        <v>92000</v>
      </c>
      <c r="K10">
        <v>285000</v>
      </c>
      <c r="L10">
        <v>906000</v>
      </c>
      <c r="M10">
        <v>0</v>
      </c>
      <c r="N10">
        <v>852000</v>
      </c>
      <c r="O10">
        <v>347000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13839000</v>
      </c>
      <c r="C11">
        <v>8839000</v>
      </c>
      <c r="D11">
        <v>9333000</v>
      </c>
      <c r="E11">
        <v>4216000</v>
      </c>
      <c r="F11">
        <v>15669000</v>
      </c>
      <c r="G11">
        <v>43275000</v>
      </c>
      <c r="H11">
        <v>32504000</v>
      </c>
      <c r="I11">
        <v>33121000</v>
      </c>
      <c r="J11">
        <v>32765000</v>
      </c>
      <c r="K11">
        <v>0</v>
      </c>
      <c r="L11">
        <v>2854000</v>
      </c>
      <c r="M11">
        <v>4730000</v>
      </c>
    </row>
    <row r="12" spans="1:13" x14ac:dyDescent="0.25">
      <c r="A12" t="s">
        <v>11</v>
      </c>
      <c r="B12">
        <v>0</v>
      </c>
      <c r="C12">
        <v>-2096000</v>
      </c>
      <c r="D12">
        <v>-269000</v>
      </c>
      <c r="E12">
        <v>-21681000</v>
      </c>
      <c r="F12">
        <v>8740000</v>
      </c>
      <c r="G12">
        <v>148000</v>
      </c>
      <c r="H12">
        <v>-92000</v>
      </c>
      <c r="I12">
        <v>2009000</v>
      </c>
      <c r="J12">
        <v>5585000</v>
      </c>
      <c r="K12">
        <v>0</v>
      </c>
      <c r="L12">
        <v>-108243000</v>
      </c>
      <c r="M12">
        <v>-347000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9" x14ac:dyDescent="0.25">
      <c r="A14" t="s">
        <v>13</v>
      </c>
      <c r="G14">
        <v>0</v>
      </c>
      <c r="H14">
        <v>0</v>
      </c>
      <c r="I14">
        <v>2232000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-3038000</v>
      </c>
      <c r="C16">
        <v>8047000</v>
      </c>
      <c r="D16">
        <v>9498000</v>
      </c>
      <c r="E16">
        <v>8423000</v>
      </c>
      <c r="F16">
        <v>-3390000</v>
      </c>
      <c r="G16">
        <v>-23797000</v>
      </c>
      <c r="H16">
        <v>-35829000</v>
      </c>
      <c r="I16">
        <v>-13566000</v>
      </c>
      <c r="J16">
        <v>-3101000</v>
      </c>
      <c r="K16">
        <v>0</v>
      </c>
      <c r="L16">
        <v>2804000</v>
      </c>
      <c r="M16">
        <v>1285000</v>
      </c>
    </row>
    <row r="17" spans="1:13" x14ac:dyDescent="0.25">
      <c r="A17" t="s">
        <v>16</v>
      </c>
      <c r="B17">
        <v>-330000</v>
      </c>
      <c r="C17">
        <v>-10934000</v>
      </c>
      <c r="D17">
        <v>3502000</v>
      </c>
      <c r="E17">
        <v>-431000</v>
      </c>
      <c r="F17">
        <v>-28294000</v>
      </c>
      <c r="G17">
        <v>-834000</v>
      </c>
      <c r="H17">
        <v>0</v>
      </c>
      <c r="I17">
        <v>18265000</v>
      </c>
      <c r="J17">
        <v>1140000</v>
      </c>
      <c r="K17">
        <v>3964000</v>
      </c>
      <c r="L17">
        <v>107391000</v>
      </c>
      <c r="M17">
        <v>1925000</v>
      </c>
    </row>
    <row r="18" spans="1:13" x14ac:dyDescent="0.25">
      <c r="A18" t="s">
        <v>17</v>
      </c>
      <c r="B18">
        <v>-2807000</v>
      </c>
      <c r="C18">
        <v>1636000</v>
      </c>
      <c r="D18">
        <v>1543000</v>
      </c>
      <c r="E18">
        <v>-490000</v>
      </c>
      <c r="F18">
        <v>-136000</v>
      </c>
      <c r="G18">
        <v>54000</v>
      </c>
      <c r="H18">
        <v>752000</v>
      </c>
      <c r="I18">
        <v>62000</v>
      </c>
      <c r="J18">
        <v>154000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17030000</v>
      </c>
      <c r="C22">
        <v>17809000</v>
      </c>
      <c r="D22">
        <v>18393000</v>
      </c>
      <c r="E22">
        <v>14273000</v>
      </c>
      <c r="F22">
        <v>21007000</v>
      </c>
      <c r="G22">
        <v>34150000</v>
      </c>
      <c r="H22">
        <v>32824000</v>
      </c>
      <c r="I22">
        <v>28159000</v>
      </c>
      <c r="J22">
        <v>29266000</v>
      </c>
      <c r="K22">
        <v>0</v>
      </c>
      <c r="L22">
        <v>30308000</v>
      </c>
      <c r="M22">
        <v>37673000</v>
      </c>
    </row>
    <row r="23" spans="1:13" x14ac:dyDescent="0.25">
      <c r="A23" t="s">
        <v>21</v>
      </c>
      <c r="B23">
        <v>1425000</v>
      </c>
      <c r="C23">
        <v>2090000</v>
      </c>
      <c r="D23">
        <v>2753000</v>
      </c>
      <c r="E23">
        <v>2770000</v>
      </c>
      <c r="F23">
        <v>4366000</v>
      </c>
      <c r="G23">
        <v>4148000</v>
      </c>
      <c r="H23">
        <v>5709000</v>
      </c>
      <c r="I23">
        <v>7939000</v>
      </c>
      <c r="J23">
        <v>7485000</v>
      </c>
      <c r="K23">
        <v>0</v>
      </c>
      <c r="L23">
        <v>12216000</v>
      </c>
      <c r="M23">
        <v>13830000</v>
      </c>
    </row>
    <row r="24" spans="1:13" x14ac:dyDescent="0.25">
      <c r="A24" t="s">
        <v>22</v>
      </c>
      <c r="B24">
        <v>33196000</v>
      </c>
      <c r="C24">
        <v>-30787000</v>
      </c>
      <c r="D24">
        <v>-14393000</v>
      </c>
      <c r="E24">
        <v>21533000</v>
      </c>
      <c r="F24">
        <v>28342000</v>
      </c>
      <c r="G24">
        <v>14369000</v>
      </c>
      <c r="H24">
        <v>128250000</v>
      </c>
      <c r="I24">
        <v>61966000</v>
      </c>
      <c r="J24">
        <v>-21339000</v>
      </c>
      <c r="K24">
        <v>-89000</v>
      </c>
      <c r="L24">
        <v>-34550000</v>
      </c>
      <c r="M24">
        <v>-25044000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10798000</v>
      </c>
      <c r="C26">
        <v>17220000</v>
      </c>
      <c r="D26">
        <v>22790000</v>
      </c>
      <c r="E26">
        <v>28934000</v>
      </c>
      <c r="F26">
        <v>31186000</v>
      </c>
      <c r="G26">
        <v>22560000</v>
      </c>
      <c r="H26">
        <v>41139000</v>
      </c>
      <c r="I26">
        <v>26867000</v>
      </c>
      <c r="J26">
        <v>28387000</v>
      </c>
      <c r="K26">
        <v>0</v>
      </c>
      <c r="L26">
        <v>24754000</v>
      </c>
      <c r="M26">
        <v>128626000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120584000</v>
      </c>
      <c r="D36">
        <v>140579000</v>
      </c>
      <c r="E36">
        <v>143155000</v>
      </c>
      <c r="F36">
        <v>112492000</v>
      </c>
      <c r="G36">
        <v>162239000</v>
      </c>
      <c r="H36">
        <v>163624000</v>
      </c>
      <c r="I36">
        <v>171032000</v>
      </c>
      <c r="J36">
        <v>159675000</v>
      </c>
      <c r="K36">
        <v>0</v>
      </c>
      <c r="L36">
        <v>158048000</v>
      </c>
      <c r="M36">
        <v>322391000</v>
      </c>
    </row>
    <row r="37" spans="1:13" x14ac:dyDescent="0.25">
      <c r="A37" t="s">
        <v>33</v>
      </c>
      <c r="B37">
        <v>0</v>
      </c>
      <c r="C37">
        <v>631503000</v>
      </c>
      <c r="D37">
        <v>707310000</v>
      </c>
      <c r="E37">
        <v>705935000</v>
      </c>
      <c r="F37">
        <v>640950000</v>
      </c>
      <c r="G37">
        <v>1129558000</v>
      </c>
      <c r="H37">
        <v>982173000</v>
      </c>
      <c r="I37">
        <v>896738000</v>
      </c>
      <c r="J37">
        <v>923359000</v>
      </c>
      <c r="K37">
        <v>0</v>
      </c>
      <c r="L37">
        <v>585615000</v>
      </c>
      <c r="M37">
        <v>855852000</v>
      </c>
    </row>
    <row r="38" spans="1:13" x14ac:dyDescent="0.25">
      <c r="A38" t="s">
        <v>34</v>
      </c>
      <c r="B38">
        <v>0</v>
      </c>
      <c r="C38">
        <v>332371000</v>
      </c>
      <c r="D38">
        <v>381159000</v>
      </c>
      <c r="E38">
        <v>380631000</v>
      </c>
      <c r="F38">
        <v>300261000</v>
      </c>
      <c r="G38">
        <v>762876000</v>
      </c>
      <c r="H38">
        <v>741827000</v>
      </c>
      <c r="I38">
        <v>766403000</v>
      </c>
      <c r="J38">
        <v>795338000</v>
      </c>
      <c r="K38">
        <v>0</v>
      </c>
      <c r="L38">
        <v>367586000</v>
      </c>
      <c r="M38">
        <v>855852000</v>
      </c>
    </row>
    <row r="39" spans="1:13" x14ac:dyDescent="0.25">
      <c r="A39" t="s">
        <v>35</v>
      </c>
      <c r="B39">
        <f>B37-B38</f>
      </c>
      <c r="C39">
        <f>D37-D38</f>
      </c>
      <c r="D39">
        <f>E37-E38</f>
      </c>
      <c r="E39">
        <f>F37-F38</f>
      </c>
      <c r="F39">
        <f>H37-H38</f>
      </c>
      <c r="G39">
        <f>I37-I38</f>
      </c>
      <c r="H39">
        <f>J37-J38</f>
      </c>
      <c r="I39">
        <f>K37-K38</f>
      </c>
      <c r="J39">
        <f>L37-L38</f>
      </c>
      <c r="K39">
        <f>M37-M38</f>
      </c>
      <c r="L39">
        <f>N37-N38</f>
      </c>
      <c r="M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