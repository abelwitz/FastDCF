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<sst xmlns="http://schemas.openxmlformats.org/spreadsheetml/2006/main" count="74" uniqueCount="71">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</sst>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42674</v>
      </c>
      <c r="C2" s="3">
        <v>53830</v>
      </c>
      <c r="D2" s="3">
        <v>66827</v>
      </c>
      <c r="E2" s="3">
        <v>67406</v>
      </c>
      <c r="F2" s="3">
        <v>47695</v>
      </c>
      <c r="G2" s="3">
        <v>45322</v>
      </c>
      <c r="H2" s="3">
        <v>47298</v>
      </c>
      <c r="I2" s="3">
        <v>37203</v>
      </c>
      <c r="J2" s="3">
        <v>33660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20926</v>
      </c>
      <c r="C3" s="3">
        <v>25469</v>
      </c>
      <c r="D3" s="3">
        <v>28403</v>
      </c>
      <c r="E3" s="3">
        <v>32485</v>
      </c>
      <c r="F3" s="3">
        <v>24651</v>
      </c>
      <c r="G3" s="3">
        <v>19304</v>
      </c>
      <c r="H3" s="3">
        <v>15830</v>
      </c>
      <c r="I3" s="3">
        <v>12105</v>
      </c>
      <c r="J3" s="3">
        <v>10008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13917</v>
      </c>
      <c r="C5" s="3">
        <v>19260</v>
      </c>
      <c r="D5" s="3">
        <v>21839</v>
      </c>
      <c r="E5" s="3">
        <v>24502</v>
      </c>
      <c r="F5" s="3">
        <v>24320</v>
      </c>
      <c r="G5" s="3">
        <v>28576</v>
      </c>
      <c r="H5" s="3">
        <v>28126</v>
      </c>
      <c r="I5" s="3">
        <v>21535</v>
      </c>
      <c r="J5" s="3">
        <v>17228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9835</v>
      </c>
      <c r="C6" s="3">
        <v>12819</v>
      </c>
      <c r="D6" s="3">
        <v>16301</v>
      </c>
      <c r="E6" s="3">
        <v>18448</v>
      </c>
      <c r="F6" s="3">
        <v>18406</v>
      </c>
      <c r="G6" s="3">
        <v>18168</v>
      </c>
      <c r="H6" s="3">
        <v>18096</v>
      </c>
      <c r="I6" s="3">
        <v>13217</v>
      </c>
      <c r="J6" s="3">
        <v>10772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1361</v>
      </c>
      <c r="G7" s="3">
        <v>0</v>
      </c>
      <c r="H7" s="3">
        <v>1114</v>
      </c>
      <c r="I7" s="3">
        <v>1351</v>
      </c>
      <c r="J7" s="3">
        <v>0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/>
      <c r="C10" s="3"/>
      <c r="D10" s="3"/>
      <c r="E10" s="3"/>
      <c r="F10" s="3"/>
      <c r="G10" s="3"/>
      <c r="H10" s="3"/>
      <c r="I10" s="3"/>
      <c r="J10" s="3"/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x14ac:dyDescent="0.25">
      <c r="A13" s="2" t="s">
        <v>12</v>
      </c>
      <c r="B13" s="3">
        <v>245</v>
      </c>
      <c r="C13" s="3">
        <v>-26254</v>
      </c>
      <c r="D13" s="3">
        <v>-989</v>
      </c>
      <c r="E13" s="3">
        <v>-773</v>
      </c>
      <c r="F13" s="3">
        <v>-711</v>
      </c>
      <c r="G13" s="3">
        <v>-279</v>
      </c>
      <c r="H13" s="3">
        <v>438</v>
      </c>
      <c r="I13" s="3">
        <v>603</v>
      </c>
      <c r="J13" s="3">
        <v>938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 s="3">
        <f>Y12+Y13</f>
      </c>
      <c r="Z14">
        <f>Z12+Z13</f>
      </c>
    </row>
    <row r="15" spans="1:2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 s="3">
        <f>Y9+Y14-Y15</f>
      </c>
      <c r="Z16">
        <f>Z9+Z14-Z15</f>
      </c>
    </row>
    <row r="17" spans="1:25" x14ac:dyDescent="0.25">
      <c r="A17" s="2" t="s">
        <v>16</v>
      </c>
      <c r="B17" s="3">
        <v>19</v>
      </c>
      <c r="C17" s="3">
        <v>43</v>
      </c>
      <c r="D17" s="3">
        <v>51</v>
      </c>
      <c r="E17" s="3">
        <v>17</v>
      </c>
      <c r="F17" s="3">
        <v>7</v>
      </c>
      <c r="G17" s="3">
        <v>8</v>
      </c>
      <c r="H17" s="3">
        <v>7</v>
      </c>
      <c r="I17" s="3">
        <v>1</v>
      </c>
      <c r="J17" s="3">
        <v>1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 s="3">
        <f>Y16-Y17+Y18-Y19+Y20+Y21</f>
      </c>
      <c r="Z22">
        <f>Z16-Z17+Z18-Z19+Z20+Z21</f>
      </c>
    </row>
    <row r="23" spans="1:2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4971</v>
      </c>
      <c r="C24" s="3">
        <v>7079</v>
      </c>
      <c r="D24" s="3">
        <v>7995</v>
      </c>
      <c r="E24" s="3">
        <v>9396</v>
      </c>
      <c r="F24" s="3">
        <v>11577</v>
      </c>
      <c r="G24" s="3">
        <v>10728</v>
      </c>
      <c r="H24" s="3">
        <v>9537</v>
      </c>
      <c r="I24" s="3">
        <v>7194</v>
      </c>
      <c r="J24" s="3">
        <v>4717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x14ac:dyDescent="0.25">
      <c r="A25" s="2" t="s">
        <v>23</v>
      </c>
      <c r="B25" s="3">
        <v>1364</v>
      </c>
      <c r="C25" s="3">
        <v>2442</v>
      </c>
      <c r="D25" s="3">
        <v>3652</v>
      </c>
      <c r="E25" s="3">
        <v>5483</v>
      </c>
      <c r="F25" s="3">
        <v>6021</v>
      </c>
      <c r="G25" s="3">
        <v>5673</v>
      </c>
      <c r="H25" s="3">
        <v>3627</v>
      </c>
      <c r="I25" s="3">
        <v>1472</v>
      </c>
      <c r="J25" s="3">
        <v>1053</v>
      </c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x14ac:dyDescent="0.25">
      <c r="A26" s="2" t="s">
        <v>24</v>
      </c>
      <c r="B26" s="3">
        <v>-4557</v>
      </c>
      <c r="C26" s="3">
        <v>20494</v>
      </c>
      <c r="D26" s="3">
        <v>-10891</v>
      </c>
      <c r="E26" s="3">
        <v>-6060</v>
      </c>
      <c r="F26" s="3">
        <v>4163</v>
      </c>
      <c r="G26" s="3">
        <v>4612</v>
      </c>
      <c r="H26" s="3">
        <v>2273</v>
      </c>
      <c r="I26" s="3">
        <v>864</v>
      </c>
      <c r="J26" s="3">
        <v>3579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 s="3">
        <f>Y22+Y24+Y25+Y26</f>
      </c>
      <c r="Z27">
        <f>Z22+Z24+Z25+Z26</f>
      </c>
    </row>
    <row r="28" spans="1:25" x14ac:dyDescent="0.25">
      <c r="A28" s="2" t="s">
        <v>26</v>
      </c>
      <c r="B28" s="3">
        <v>10517</v>
      </c>
      <c r="C28" s="3">
        <v>12806</v>
      </c>
      <c r="D28" s="3">
        <v>6560</v>
      </c>
      <c r="E28" s="3">
        <v>13534</v>
      </c>
      <c r="F28" s="3">
        <v>2815</v>
      </c>
      <c r="G28" s="3">
        <v>1452</v>
      </c>
      <c r="H28" s="3">
        <v>2381</v>
      </c>
      <c r="I28" s="3">
        <v>777</v>
      </c>
      <c r="J28" s="3">
        <v>1287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 s="3">
        <f>Y27-Y28</f>
      </c>
      <c r="Z29">
        <f>Z27-Z28</f>
      </c>
    </row>
    <row r="30" spans="1:2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 s="4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 s="4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 s="4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 s="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 s="4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 s="4">
        <f>IF(AND(COUNT(X29,Y29)=2, Y29&lt;&gt;0, X2&lt;&gt;0), Y27/X29-1, " ")</f>
      </c>
      <c r="Z36">
        <f>IF(AND(COUNT(Y29,Z29)=2, Z29&lt;&gt;0, Y2&lt;&gt;0), Z27/Y29-1, " ")</f>
      </c>
    </row>
    <row r="37" spans="1:2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0</v>
      </c>
      <c r="C38" s="3">
        <v>25128</v>
      </c>
      <c r="D38" s="3">
        <v>24058</v>
      </c>
      <c r="E38" s="3">
        <v>28485</v>
      </c>
      <c r="F38" s="3">
        <v>19106</v>
      </c>
      <c r="G38" s="3">
        <v>15735</v>
      </c>
      <c r="H38" s="3">
        <v>10964</v>
      </c>
      <c r="I38" s="3">
        <v>5913</v>
      </c>
      <c r="J38" s="3">
        <v>3432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v>0</v>
      </c>
      <c r="C39" s="3">
        <v>127814</v>
      </c>
      <c r="D39" s="3">
        <v>123685</v>
      </c>
      <c r="E39" s="3">
        <v>124482</v>
      </c>
      <c r="F39" s="3">
        <v>105437</v>
      </c>
      <c r="G39" s="3">
        <v>69677</v>
      </c>
      <c r="H39" s="3">
        <v>53168</v>
      </c>
      <c r="I39" s="3">
        <v>44309</v>
      </c>
      <c r="J39" s="3">
        <v>43393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x14ac:dyDescent="0.25">
      <c r="A40" s="2" t="s">
        <v>36</v>
      </c>
      <c r="B40" s="3">
        <v>0</v>
      </c>
      <c r="C40" s="3">
        <v>47641</v>
      </c>
      <c r="D40" s="3">
        <v>38168</v>
      </c>
      <c r="E40" s="3">
        <v>39630</v>
      </c>
      <c r="F40" s="3">
        <v>35172</v>
      </c>
      <c r="G40" s="3">
        <v>13578</v>
      </c>
      <c r="H40" s="3">
        <v>8172</v>
      </c>
      <c r="I40" s="3">
        <v>8236</v>
      </c>
      <c r="J40" s="3">
        <v>9009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F39-F40</f>
      </c>
      <c r="G41" s="3">
        <f>G39-G40</f>
      </c>
      <c r="H41" s="3">
        <f>H39-H40</f>
      </c>
      <c r="I41" s="3">
        <f>I39-I40</f>
      </c>
      <c r="J41" s="3">
        <f>J39-J40</f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2023-12-24T11:00:37Z</cp:lastPrinted>
  <dcterms:created xsi:type="dcterms:W3CDTF">2023-12-24T11:00:37Z</dcterms:created>
  <dcterms:modified xsi:type="dcterms:W3CDTF">2023-12-24T11:00:37Z</dcterms:modified>
</cp:coreProperties>
</file>