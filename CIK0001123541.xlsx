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<sst xmlns="http://schemas.openxmlformats.org/spreadsheetml/2006/main" count="74" uniqueCount="71">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</sst>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169819</v>
      </c>
      <c r="C2" s="3">
        <v>166568</v>
      </c>
      <c r="D2" s="3">
        <v>157267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157598</v>
      </c>
      <c r="C6" s="3">
        <v>176622</v>
      </c>
      <c r="D6" s="3">
        <v>178149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49081</v>
      </c>
      <c r="C7" s="3">
        <v>72866</v>
      </c>
      <c r="D7" s="3">
        <v>272314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93359</v>
      </c>
      <c r="C10" s="3">
        <v>82227</v>
      </c>
      <c r="D10" s="3">
        <v>81541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32658</v>
      </c>
      <c r="C11" s="3">
        <v>19738</v>
      </c>
      <c r="D11" s="3">
        <v>21476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60701</v>
      </c>
      <c r="C12" s="3">
        <v>62489</v>
      </c>
      <c r="D12" s="3">
        <v>60065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v>0</v>
      </c>
      <c r="C13" s="3">
        <v>0</v>
      </c>
      <c r="D13" s="3">
        <v>0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 s="3">
        <f>Z12+Z13</f>
      </c>
    </row>
    <row r="15" spans="1:26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 s="3">
        <f>Z9+Z14-Z15</f>
      </c>
    </row>
    <row r="17" spans="1:26" x14ac:dyDescent="0.25">
      <c r="A17" s="2" t="s">
        <v>16</v>
      </c>
      <c r="B17" s="3">
        <v>9645</v>
      </c>
      <c r="C17" s="3">
        <v>-5830</v>
      </c>
      <c r="D17" s="3">
        <v>-10064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1815</v>
      </c>
      <c r="C18" s="3">
        <v>-5246</v>
      </c>
      <c r="D18" s="3">
        <v>-2443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v>0</v>
      </c>
      <c r="C20" s="3">
        <v>0</v>
      </c>
      <c r="D20" s="3">
        <v>0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 s="3">
        <f>Z16-Z17+Z18-Z19+Z20+Z21</f>
      </c>
    </row>
    <row r="23" spans="1:26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16503</v>
      </c>
      <c r="C24" s="3">
        <v>17842</v>
      </c>
      <c r="D24" s="3">
        <v>18875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v>5087</v>
      </c>
      <c r="C25" s="3">
        <v>4986</v>
      </c>
      <c r="D25" s="3">
        <v>3266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x14ac:dyDescent="0.25">
      <c r="A26" s="2" t="s">
        <v>24</v>
      </c>
      <c r="B26" s="3">
        <v>-37601</v>
      </c>
      <c r="C26" s="3">
        <v>-2981</v>
      </c>
      <c r="D26" s="3">
        <v>203369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 s="3">
        <f>Z22+Z24+Z25+Z26</f>
      </c>
    </row>
    <row r="28" spans="1:26" x14ac:dyDescent="0.25">
      <c r="A28" s="2" t="s">
        <v>26</v>
      </c>
      <c r="B28" s="3">
        <v>18449</v>
      </c>
      <c r="C28" s="3">
        <v>14138</v>
      </c>
      <c r="D28" s="3">
        <v>10693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 s="3">
        <f>Z27-Z28</f>
      </c>
    </row>
    <row r="30" spans="1:26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 s="4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 s="4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 s="4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 s="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 s="4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 s="4">
        <f>IF(AND(COUNT(Y29,Z29)=2, Z29&lt;&gt;0, Y2&lt;&gt;0), Z27/Y29-1, " ")</f>
      </c>
    </row>
    <row r="37" spans="1:26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27936</v>
      </c>
      <c r="D38" s="3">
        <v>22452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v>0</v>
      </c>
      <c r="C39" s="3">
        <v>10319473</v>
      </c>
      <c r="D39" s="3">
        <v>6197406</v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x14ac:dyDescent="0.25">
      <c r="A40" s="2" t="s">
        <v>36</v>
      </c>
      <c r="B40" s="3">
        <v>-298902</v>
      </c>
      <c r="C40" s="3">
        <v>10018552</v>
      </c>
      <c r="D40" s="3">
        <v>6121821</v>
      </c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2023-12-24T00:45:06Z</cp:lastPrinted>
  <dcterms:created xsi:type="dcterms:W3CDTF">2023-12-24T00:45:06Z</dcterms:created>
  <dcterms:modified xsi:type="dcterms:W3CDTF">2023-12-24T00:45:06Z</dcterms:modified>
</cp:coreProperties>
</file>