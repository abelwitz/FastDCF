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<sst xmlns="http://schemas.openxmlformats.org/spreadsheetml/2006/main" count="74" uniqueCount="70">
  <si>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</si>
  <si>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</si>
  <si>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</si>
  <si>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</si>
  <si>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</si>
  <si>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</si>
  <si>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</si>
  <si>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</si>
  <si>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</si>
  <si>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</si>
  <si>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</si>
  <si>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</si>
  <si>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</si>
  <si>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</si>
  <si>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</si>
  <si>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</si>
  <si>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</si>
  <si>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</si>
  <si>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</si>
  <si>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</si>
  <si>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</si>
  <si>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</si>
  <si>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</si>
  <si>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</si>
  <si>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</si>
  <si>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</si>
  <si>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</si>
  <si>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</si>
  <si>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</si>
  <si>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</si>
  <si>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</si>
  <si>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</si>
  <si>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</si>
  <si>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</si>
  <si>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</si>
  <si>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</si>
  <si>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</si>
  <si>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</si>
  <si>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</si>
  <si>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</si>
  <si>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</si>
  <si>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</si>
  <si>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</si>
  <si>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</si>
  <si>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</si>
  <si>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</si>
  <si>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</si>
  <si>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https://finance.yahoo.com/quote/BABB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</si>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</sst>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BABB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BABB" TargetMode="External"/><Relationship Id="rId5" Type="http://schemas.openxmlformats.org/officeDocument/2006/relationships/hyperlink" Target="https://finance.yahoo.com/quote/BABB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2913741</v>
      </c>
      <c r="C2" s="3">
        <v>3023276</v>
      </c>
      <c r="D2" s="3">
        <v>2674822</v>
      </c>
      <c r="E2" s="3">
        <v>2450194</v>
      </c>
      <c r="F2" s="3">
        <v>2534590</v>
      </c>
      <c r="G2" s="3">
        <v>2215780</v>
      </c>
      <c r="H2" s="3">
        <v>2386167</v>
      </c>
      <c r="I2" s="3">
        <v>2220893</v>
      </c>
      <c r="J2" s="3">
        <v>2173331</v>
      </c>
      <c r="K2" s="3">
        <v>3069692</v>
      </c>
      <c r="L2" s="3">
        <v>2371533</v>
      </c>
      <c r="M2" s="3">
        <v>3072138</v>
      </c>
      <c r="N2" s="3">
        <v>3287087</v>
      </c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>
        <v>0</v>
      </c>
      <c r="H3" s="3">
        <v>0</v>
      </c>
      <c r="I3" s="3">
        <v>0</v>
      </c>
      <c r="J3" s="3">
        <v>0</v>
      </c>
      <c r="K3" s="3">
        <v>0</v>
      </c>
      <c r="L3" s="3">
        <v>0</v>
      </c>
      <c r="M3" s="3">
        <v>0</v>
      </c>
      <c r="N3" s="3">
        <v>0</v>
      </c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>
        <v>0</v>
      </c>
      <c r="J5" s="3">
        <v>0</v>
      </c>
      <c r="K5" s="3">
        <v>0</v>
      </c>
      <c r="L5" s="3">
        <v>0</v>
      </c>
      <c r="M5" s="3">
        <v>0</v>
      </c>
      <c r="N5" s="3">
        <v>0</v>
      </c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1361021</v>
      </c>
      <c r="C6" s="3">
        <v>-832409</v>
      </c>
      <c r="D6" s="3">
        <v>-923694</v>
      </c>
      <c r="E6" s="3">
        <v>78040</v>
      </c>
      <c r="F6" s="3">
        <v>55934</v>
      </c>
      <c r="G6" s="3">
        <v>74636</v>
      </c>
      <c r="H6" s="3">
        <v>60802</v>
      </c>
      <c r="I6" s="3">
        <v>35601</v>
      </c>
      <c r="J6" s="3">
        <v>15237</v>
      </c>
      <c r="K6" s="3">
        <v>64544</v>
      </c>
      <c r="L6" s="3">
        <v>28778</v>
      </c>
      <c r="M6" s="3">
        <v>28096</v>
      </c>
      <c r="N6" s="3">
        <v>19240</v>
      </c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1141206</v>
      </c>
      <c r="C7" s="3">
        <v>3452029</v>
      </c>
      <c r="D7" s="3">
        <v>3159950</v>
      </c>
      <c r="E7" s="3">
        <v>1986823</v>
      </c>
      <c r="F7" s="3">
        <v>1940658</v>
      </c>
      <c r="G7" s="3">
        <v>2038137</v>
      </c>
      <c r="H7" s="3">
        <v>1865644</v>
      </c>
      <c r="I7" s="3">
        <v>1725726</v>
      </c>
      <c r="J7" s="3">
        <v>1620378</v>
      </c>
      <c r="K7" s="3">
        <v>2531667</v>
      </c>
      <c r="L7" s="3">
        <v>2109364</v>
      </c>
      <c r="M7" s="3">
        <v>2502318</v>
      </c>
      <c r="N7" s="3">
        <v>2660080</v>
      </c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7521</v>
      </c>
      <c r="C10" s="3">
        <v>3703</v>
      </c>
      <c r="D10" s="3">
        <v>2542</v>
      </c>
      <c r="E10" s="3">
        <v>968</v>
      </c>
      <c r="F10" s="3">
        <v>673</v>
      </c>
      <c r="G10" s="3">
        <v>1705</v>
      </c>
      <c r="H10" s="3">
        <v>502</v>
      </c>
      <c r="I10" s="3">
        <v>107</v>
      </c>
      <c r="J10" s="3">
        <v>159</v>
      </c>
      <c r="K10" s="3">
        <v>612</v>
      </c>
      <c r="L10" s="3">
        <v>378</v>
      </c>
      <c r="M10" s="3">
        <v>417</v>
      </c>
      <c r="N10" s="3">
        <v>412</v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9507</v>
      </c>
      <c r="C11" s="3">
        <v>8296</v>
      </c>
      <c r="D11" s="3">
        <v>7028</v>
      </c>
      <c r="E11" s="3">
        <v>5699</v>
      </c>
      <c r="F11" s="3">
        <v>4308</v>
      </c>
      <c r="G11" s="3">
        <v>2850</v>
      </c>
      <c r="H11" s="3">
        <v>1323</v>
      </c>
      <c r="I11" s="3">
        <v>0</v>
      </c>
      <c r="J11" s="3">
        <v>0</v>
      </c>
      <c r="K11" s="3">
        <v>0</v>
      </c>
      <c r="L11" s="3">
        <v>0</v>
      </c>
      <c r="M11" s="3">
        <v>0</v>
      </c>
      <c r="N11" s="3">
        <v>0</v>
      </c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-1986</v>
      </c>
      <c r="C12" s="3">
        <v>-4593</v>
      </c>
      <c r="D12" s="3">
        <v>-4486</v>
      </c>
      <c r="E12" s="3">
        <v>-4731</v>
      </c>
      <c r="F12" s="3">
        <v>-3635</v>
      </c>
      <c r="G12" s="3">
        <v>-1145</v>
      </c>
      <c r="H12" s="3">
        <v>-821</v>
      </c>
      <c r="I12" s="3">
        <v>107</v>
      </c>
      <c r="J12" s="3">
        <v>159</v>
      </c>
      <c r="K12" s="3">
        <v>612</v>
      </c>
      <c r="L12" s="3">
        <v>378</v>
      </c>
      <c r="M12" s="3">
        <v>417</v>
      </c>
      <c r="N12" s="3">
        <v>412</v>
      </c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2" t="s">
        <v>12</v>
      </c>
      <c r="B13" s="3">
        <v>0</v>
      </c>
      <c r="C13" s="3">
        <v>0</v>
      </c>
      <c r="D13" s="3">
        <v>0</v>
      </c>
      <c r="E13" s="3">
        <v>0</v>
      </c>
      <c r="F13" s="3">
        <v>0</v>
      </c>
      <c r="G13" s="3">
        <v>0</v>
      </c>
      <c r="H13" s="3">
        <v>0</v>
      </c>
      <c r="I13" s="3">
        <v>0</v>
      </c>
      <c r="J13" s="3">
        <v>0</v>
      </c>
      <c r="K13" s="3">
        <v>0</v>
      </c>
      <c r="L13" s="3">
        <v>0</v>
      </c>
      <c r="M13" s="3">
        <v>228155</v>
      </c>
      <c r="N13" s="3">
        <v>0</v>
      </c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>
        <f>Z12+Z13</f>
      </c>
    </row>
    <row r="15" spans="1:2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>
        <f>Z9+Z14-Z15</f>
      </c>
    </row>
    <row r="17" spans="1:25" x14ac:dyDescent="0.25">
      <c r="A17" s="2" t="s">
        <v>16</v>
      </c>
      <c r="B17" s="3">
        <v>0</v>
      </c>
      <c r="C17" s="3">
        <v>5000</v>
      </c>
      <c r="D17" s="3">
        <v>15000</v>
      </c>
      <c r="E17" s="3">
        <v>30067</v>
      </c>
      <c r="F17" s="3">
        <v>22417</v>
      </c>
      <c r="G17" s="3">
        <v>-8500</v>
      </c>
      <c r="H17" s="3">
        <v>9500</v>
      </c>
      <c r="I17" s="3">
        <v>5500</v>
      </c>
      <c r="J17" s="3">
        <v>30000</v>
      </c>
      <c r="K17" s="3">
        <v>25000</v>
      </c>
      <c r="L17" s="3">
        <v>299940</v>
      </c>
      <c r="M17" s="3">
        <v>119174</v>
      </c>
      <c r="N17" s="3">
        <v>176187</v>
      </c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>
        <v>0</v>
      </c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0</v>
      </c>
      <c r="K20" s="3">
        <v>0</v>
      </c>
      <c r="L20" s="3">
        <v>0</v>
      </c>
      <c r="M20" s="3">
        <v>0</v>
      </c>
      <c r="N20" s="3">
        <v>0</v>
      </c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>
        <v>0</v>
      </c>
      <c r="I21" s="3">
        <v>0</v>
      </c>
      <c r="J21" s="3">
        <v>0</v>
      </c>
      <c r="K21" s="3">
        <v>0</v>
      </c>
      <c r="L21" s="3">
        <v>0</v>
      </c>
      <c r="M21" s="3">
        <v>0</v>
      </c>
      <c r="N21" s="3">
        <v>0</v>
      </c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>
        <f>Z16-Z17+Z18-Z19+Z20+Z21</f>
      </c>
    </row>
    <row r="23" spans="1:2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28404</v>
      </c>
      <c r="C24" s="3">
        <v>26389</v>
      </c>
      <c r="D24" s="3">
        <v>18924</v>
      </c>
      <c r="E24" s="3">
        <v>17493</v>
      </c>
      <c r="F24" s="3">
        <v>17983</v>
      </c>
      <c r="G24" s="3">
        <v>17145</v>
      </c>
      <c r="H24" s="3">
        <v>20152</v>
      </c>
      <c r="I24" s="3">
        <v>11536</v>
      </c>
      <c r="J24" s="3">
        <v>1210</v>
      </c>
      <c r="K24" s="3">
        <v>2057</v>
      </c>
      <c r="L24" s="3">
        <v>3562</v>
      </c>
      <c r="M24" s="3">
        <v>5116</v>
      </c>
      <c r="N24" s="3">
        <v>4440</v>
      </c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2" t="s">
        <v>23</v>
      </c>
      <c r="B25" s="3">
        <v>9948</v>
      </c>
      <c r="C25" s="3">
        <v>9645</v>
      </c>
      <c r="D25" s="3">
        <v>0</v>
      </c>
      <c r="E25" s="3">
        <v>0</v>
      </c>
      <c r="F25" s="3">
        <v>0</v>
      </c>
      <c r="G25" s="3">
        <v>0</v>
      </c>
      <c r="H25" s="3">
        <v>0</v>
      </c>
      <c r="I25" s="3">
        <v>0</v>
      </c>
      <c r="J25" s="3">
        <v>0</v>
      </c>
      <c r="K25" s="3">
        <v>0</v>
      </c>
      <c r="L25" s="3">
        <v>0</v>
      </c>
      <c r="M25" s="3">
        <v>0</v>
      </c>
      <c r="N25" s="3">
        <v>0</v>
      </c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2" t="s">
        <v>24</v>
      </c>
      <c r="B26" s="3">
        <v>79132</v>
      </c>
      <c r="C26" s="3">
        <v>33573</v>
      </c>
      <c r="D26" s="3">
        <v>56888</v>
      </c>
      <c r="E26" s="3">
        <v>-322325</v>
      </c>
      <c r="F26" s="3">
        <v>-30360</v>
      </c>
      <c r="G26" s="3">
        <v>398596</v>
      </c>
      <c r="H26" s="3">
        <v>73428</v>
      </c>
      <c r="I26" s="3">
        <v>-205821</v>
      </c>
      <c r="J26" s="3">
        <v>-116988</v>
      </c>
      <c r="K26" s="3">
        <v>-19629</v>
      </c>
      <c r="L26" s="3">
        <v>275526</v>
      </c>
      <c r="M26" s="3">
        <v>62062</v>
      </c>
      <c r="N26" s="3">
        <v>-301388</v>
      </c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>
        <f>Z22+Z24+Z25+Z26</f>
      </c>
    </row>
    <row r="28" spans="1:25" x14ac:dyDescent="0.25">
      <c r="A28" s="2" t="s">
        <v>26</v>
      </c>
      <c r="B28" s="3">
        <v>40769</v>
      </c>
      <c r="C28" s="3">
        <v>11145</v>
      </c>
      <c r="D28" s="3">
        <v>11198</v>
      </c>
      <c r="E28" s="3">
        <v>7915</v>
      </c>
      <c r="F28" s="3">
        <v>7643</v>
      </c>
      <c r="G28" s="3">
        <v>3203</v>
      </c>
      <c r="H28" s="3">
        <v>4023</v>
      </c>
      <c r="I28" s="3">
        <v>11173</v>
      </c>
      <c r="J28" s="3">
        <v>5775</v>
      </c>
      <c r="K28" s="3">
        <v>3248</v>
      </c>
      <c r="L28" s="3">
        <v>13278</v>
      </c>
      <c r="M28" s="3">
        <v>2525</v>
      </c>
      <c r="N28" s="3">
        <v>0</v>
      </c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>
        <f>Z27-Z28</f>
      </c>
    </row>
    <row r="30" spans="1:2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>
        <f>IF(AND(COUNT(Y29,Z29)=2, Z29&lt;&gt;0, Y2&lt;&gt;0), Z27/Y29-1, " ")</f>
      </c>
    </row>
    <row r="37" spans="1:2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32359</v>
      </c>
      <c r="C38" s="3">
        <v>10371</v>
      </c>
      <c r="D38" s="3">
        <v>10773</v>
      </c>
      <c r="E38" s="3">
        <v>10102</v>
      </c>
      <c r="F38" s="3">
        <v>5921</v>
      </c>
      <c r="G38" s="3">
        <v>3476</v>
      </c>
      <c r="H38" s="3">
        <v>1226</v>
      </c>
      <c r="I38" s="3">
        <v>5515</v>
      </c>
      <c r="J38" s="3">
        <v>1142</v>
      </c>
      <c r="K38" s="3">
        <v>3662</v>
      </c>
      <c r="L38" s="3">
        <v>2296</v>
      </c>
      <c r="M38" s="3">
        <v>748</v>
      </c>
      <c r="N38" s="3">
        <v>0</v>
      </c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v>4070590</v>
      </c>
      <c r="C39" s="3">
        <v>4087697</v>
      </c>
      <c r="D39" s="3">
        <v>4089552</v>
      </c>
      <c r="E39" s="3">
        <v>3773228</v>
      </c>
      <c r="F39" s="3">
        <v>3673892</v>
      </c>
      <c r="G39" s="3">
        <v>3688347</v>
      </c>
      <c r="H39" s="3">
        <v>3871523</v>
      </c>
      <c r="I39" s="3">
        <v>3867511</v>
      </c>
      <c r="J39" s="3">
        <v>4365637</v>
      </c>
      <c r="K39" s="3">
        <v>4229565</v>
      </c>
      <c r="L39" s="3">
        <v>4094462</v>
      </c>
      <c r="M39" s="3">
        <v>4460141</v>
      </c>
      <c r="N39" s="3">
        <v>4294607</v>
      </c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2" t="s">
        <v>36</v>
      </c>
      <c r="B40" s="3">
        <v>863755</v>
      </c>
      <c r="C40" s="3">
        <v>1130870</v>
      </c>
      <c r="D40" s="3">
        <v>931550</v>
      </c>
      <c r="E40" s="3">
        <v>845775</v>
      </c>
      <c r="F40" s="3">
        <v>670304</v>
      </c>
      <c r="G40" s="3">
        <v>937572</v>
      </c>
      <c r="H40" s="3">
        <v>1107158</v>
      </c>
      <c r="I40" s="3">
        <v>1012149</v>
      </c>
      <c r="J40" s="3">
        <v>1365575</v>
      </c>
      <c r="K40" s="3">
        <v>1299840</v>
      </c>
      <c r="L40" s="3">
        <v>1521448</v>
      </c>
      <c r="M40" s="3">
        <v>1526545</v>
      </c>
      <c r="N40" s="3">
        <v>1219560</v>
      </c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>
        <f>J39-J40</f>
      </c>
      <c r="K41" s="3">
        <f>K39-K40</f>
      </c>
      <c r="L41" s="3">
        <f>L39-L40</f>
      </c>
      <c r="M41" s="3">
        <f>M39-M40</f>
      </c>
      <c r="N41" s="3">
        <f>N39-N40</f>
      </c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2023-12-24T11:00:02Z</cp:lastPrinted>
  <dcterms:created xsi:type="dcterms:W3CDTF">2023-12-24T11:00:02Z</dcterms:created>
  <dcterms:modified xsi:type="dcterms:W3CDTF">2023-12-24T11:00:02Z</dcterms:modified>
</cp:coreProperties>
</file>