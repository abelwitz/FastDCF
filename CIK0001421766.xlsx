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<sst xmlns="http://schemas.openxmlformats.org/spreadsheetml/2006/main" count="72" uniqueCount="68">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</sst>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5" x14ac:dyDescent="0.25">
      <c r="A1" s="1" t="s">
        <v>0</v>
      </c>
      <c r="B1" s="2">
        <v>2010</v>
      </c>
      <c r="C1" s="2">
        <v>2011</v>
      </c>
      <c r="D1" s="2">
        <v>2012</v>
      </c>
      <c r="E1" s="2">
        <v>2013</v>
      </c>
      <c r="F1" s="2">
        <v>2014</v>
      </c>
      <c r="G1" s="2">
        <v>2015</v>
      </c>
      <c r="H1" s="2">
        <v>2016</v>
      </c>
      <c r="I1" s="2">
        <v>2017</v>
      </c>
      <c r="J1" s="2">
        <v>2018</v>
      </c>
      <c r="K1" s="2">
        <v>2019</v>
      </c>
      <c r="L1" s="2">
        <v>2020</v>
      </c>
      <c r="M1" s="2">
        <v>2021</v>
      </c>
      <c r="N1" s="2">
        <v>2022</v>
      </c>
      <c r="O1" s="2">
        <v>2023</v>
      </c>
      <c r="P1" s="2">
        <v>2024</v>
      </c>
      <c r="Q1" s="2">
        <v>2025</v>
      </c>
      <c r="R1" s="2">
        <v>2026</v>
      </c>
      <c r="S1" s="2">
        <v>2027</v>
      </c>
      <c r="T1" s="2">
        <v>2028</v>
      </c>
      <c r="U1" s="2">
        <v>2029</v>
      </c>
      <c r="V1" s="2">
        <v>2030</v>
      </c>
      <c r="W1" s="2">
        <v>2031</v>
      </c>
      <c r="X1" s="2">
        <v>2032</v>
      </c>
      <c r="Y1" s="2">
        <v>2033</v>
      </c>
    </row>
    <row r="2" spans="1:25" x14ac:dyDescent="0.25">
      <c r="A2" s="2" t="s">
        <v>1</v>
      </c>
      <c r="B2" s="3">
        <v>16230</v>
      </c>
      <c r="C2" s="3">
        <v>1374</v>
      </c>
      <c r="D2" s="3">
        <v>0</v>
      </c>
      <c r="E2" s="3">
        <v>0</v>
      </c>
      <c r="F2" s="3">
        <v>0</v>
      </c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</row>
    <row r="3" spans="1:25" x14ac:dyDescent="0.25">
      <c r="A3" s="2" t="s">
        <v>2</v>
      </c>
      <c r="B3" s="3">
        <v>21995</v>
      </c>
      <c r="C3" s="3">
        <v>5130</v>
      </c>
      <c r="D3" s="3">
        <v>0</v>
      </c>
      <c r="E3" s="3">
        <v>0</v>
      </c>
      <c r="F3" s="3">
        <v>0</v>
      </c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>
        <f>Z2-Z3</f>
      </c>
    </row>
    <row r="5" spans="1:25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</row>
    <row r="6" spans="1:25" x14ac:dyDescent="0.25">
      <c r="A6" s="2" t="s">
        <v>5</v>
      </c>
      <c r="B6" s="3">
        <v>2473896</v>
      </c>
      <c r="C6" s="3">
        <v>1320180</v>
      </c>
      <c r="D6" s="3">
        <v>620071</v>
      </c>
      <c r="E6" s="3">
        <v>502012</v>
      </c>
      <c r="F6" s="3">
        <v>269660</v>
      </c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</row>
    <row r="7" spans="1:25" x14ac:dyDescent="0.25">
      <c r="A7" s="2" t="s">
        <v>6</v>
      </c>
      <c r="B7" s="3">
        <v>6574</v>
      </c>
      <c r="C7" s="3">
        <v>129482</v>
      </c>
      <c r="D7" s="3">
        <v>0</v>
      </c>
      <c r="E7" s="3">
        <v>0</v>
      </c>
      <c r="F7" s="3">
        <v>0</v>
      </c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>
        <f>Z4-Z8</f>
      </c>
    </row>
    <row r="10" spans="1:26" x14ac:dyDescent="0.25">
      <c r="A10" s="2" t="s">
        <v>9</v>
      </c>
      <c r="B10" s="3">
        <v>-566201</v>
      </c>
      <c r="C10" s="3">
        <v>-268823</v>
      </c>
      <c r="D10" s="3">
        <v>25822</v>
      </c>
      <c r="E10" s="3">
        <v>-194416</v>
      </c>
      <c r="F10" s="3">
        <v>-114085</v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5" x14ac:dyDescent="0.25">
      <c r="A11" s="2" t="s">
        <v>10</v>
      </c>
      <c r="B11" s="3">
        <v>566201</v>
      </c>
      <c r="C11" s="3">
        <v>268823</v>
      </c>
      <c r="D11" s="3">
        <v>152978</v>
      </c>
      <c r="E11" s="3">
        <v>413</v>
      </c>
      <c r="F11" s="3">
        <v>185</v>
      </c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</row>
    <row r="12" spans="1:25" x14ac:dyDescent="0.25">
      <c r="A12" s="2" t="s">
        <v>11</v>
      </c>
      <c r="B12" s="3">
        <v>566201</v>
      </c>
      <c r="C12" s="3">
        <v>268822.6599999999</v>
      </c>
      <c r="D12" s="3">
        <v>152977.66000000003</v>
      </c>
      <c r="E12" s="3">
        <v>413</v>
      </c>
      <c r="F12" s="3">
        <v>185</v>
      </c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>
        <f>Z10-Z11+Z12</f>
      </c>
    </row>
    <row r="14" spans="1:25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>
        <f>Z9+Z13-Z14</f>
      </c>
    </row>
    <row r="16" spans="1:25" x14ac:dyDescent="0.25">
      <c r="A16" s="2" t="s">
        <v>15</v>
      </c>
      <c r="B16" s="3">
        <v>0</v>
      </c>
      <c r="C16" s="3">
        <v>-0.34</v>
      </c>
      <c r="D16" s="3">
        <v>-0.34</v>
      </c>
      <c r="E16" s="3">
        <v>0</v>
      </c>
      <c r="F16" s="3">
        <v>0</v>
      </c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</row>
    <row r="17" spans="1:25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</row>
    <row r="18" spans="1:25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</row>
    <row r="19" spans="1:25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>
        <f>Z15-Z16+Z17-Z18+Z19</f>
      </c>
    </row>
    <row r="21" spans="1:25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</row>
    <row r="22" spans="1:25" x14ac:dyDescent="0.25">
      <c r="A22" s="2" t="s">
        <v>20</v>
      </c>
      <c r="B22" s="3">
        <v>24233</v>
      </c>
      <c r="C22" s="3">
        <v>19474</v>
      </c>
      <c r="D22" s="3">
        <v>0</v>
      </c>
      <c r="E22" s="3">
        <v>0</v>
      </c>
      <c r="F22" s="3">
        <v>0</v>
      </c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</row>
    <row r="23" spans="1:25" x14ac:dyDescent="0.25">
      <c r="A23" s="2" t="s">
        <v>21</v>
      </c>
      <c r="B23" s="3">
        <v>0</v>
      </c>
      <c r="C23" s="3">
        <v>13483</v>
      </c>
      <c r="D23" s="3">
        <v>52125</v>
      </c>
      <c r="E23" s="3">
        <v>50000</v>
      </c>
      <c r="F23" s="3">
        <v>0</v>
      </c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</row>
    <row r="24" spans="1:25" x14ac:dyDescent="0.25">
      <c r="A24" s="2" t="s">
        <v>22</v>
      </c>
      <c r="B24" s="3">
        <v>1178950</v>
      </c>
      <c r="C24" s="3">
        <v>728119</v>
      </c>
      <c r="D24" s="3">
        <v>77889</v>
      </c>
      <c r="E24" s="3">
        <v>340520</v>
      </c>
      <c r="F24" s="3">
        <v>137330</v>
      </c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>
        <f>Z20+Z22+Z23+Z24</f>
      </c>
    </row>
    <row r="26" spans="1:25" x14ac:dyDescent="0.25">
      <c r="A26" s="2" t="s">
        <v>24</v>
      </c>
      <c r="B26" s="3">
        <v>1272</v>
      </c>
      <c r="C26" s="3">
        <v>0</v>
      </c>
      <c r="D26" s="3">
        <v>0</v>
      </c>
      <c r="E26" s="3">
        <v>0</v>
      </c>
      <c r="F26" s="3">
        <v>0</v>
      </c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>
        <f>Z25-Z26</f>
      </c>
    </row>
    <row r="28" spans="1:25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>
        <f>IF(AND(COUNT(Y27,Z27)=2, Z27&lt;&gt;0, Y2&lt;&gt;0), Z27/Y27-1, " ")</f>
      </c>
    </row>
    <row r="35" spans="1:25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</row>
    <row r="36" spans="1:25" x14ac:dyDescent="0.25">
      <c r="A36" s="2" t="s">
        <v>32</v>
      </c>
      <c r="B36" s="3">
        <v>11904</v>
      </c>
      <c r="C36" s="3">
        <v>0</v>
      </c>
      <c r="D36" s="3">
        <v>0</v>
      </c>
      <c r="E36" s="3">
        <v>0</v>
      </c>
      <c r="F36" s="3">
        <v>0</v>
      </c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</row>
    <row r="37" spans="1:25" x14ac:dyDescent="0.25">
      <c r="A37" s="2" t="s">
        <v>33</v>
      </c>
      <c r="B37" s="3">
        <v>224823</v>
      </c>
      <c r="C37" s="3">
        <v>24568</v>
      </c>
      <c r="D37" s="3">
        <v>16054</v>
      </c>
      <c r="E37" s="3">
        <v>9534</v>
      </c>
      <c r="F37" s="3">
        <v>7601</v>
      </c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</row>
    <row r="38" spans="1:25" x14ac:dyDescent="0.25">
      <c r="A38" s="2" t="s">
        <v>34</v>
      </c>
      <c r="B38" s="3">
        <v>8901530</v>
      </c>
      <c r="C38" s="3">
        <v>10140408</v>
      </c>
      <c r="D38" s="3">
        <v>1253737</v>
      </c>
      <c r="E38" s="3">
        <v>1942645</v>
      </c>
      <c r="F38" s="3">
        <v>2274457</v>
      </c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</row>
    <row r="39" spans="1:25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2023-12-22T01:45:42Z</cp:lastPrinted>
  <dcterms:created xsi:type="dcterms:W3CDTF">2023-12-22T01:45:42Z</dcterms:created>
  <dcterms:modified xsi:type="dcterms:W3CDTF">2023-12-22T01:45:42Z</dcterms:modified>
</cp:coreProperties>
</file>