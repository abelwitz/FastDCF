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<sst xmlns="http://schemas.openxmlformats.org/spreadsheetml/2006/main" count="72" uniqueCount="68">
  <si>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</si>
  <si>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</si>
  <si>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</si>
  <si>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</si>
  <si>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</si>
  <si>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</si>
  <si>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</si>
  <si>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</si>
  <si>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</si>
  <si>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</si>
  <si>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</si>
  <si>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</si>
  <si>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</si>
  <si>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</si>
  <si>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</si>
  <si>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</si>
  <si>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</si>
  <si>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</si>
  <si>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</si>
  <si>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</si>
  <si>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</si>
  <si>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</si>
  <si>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</si>
  <si>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</si>
  <si>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</si>
  <si>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</si>
  <si>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</si>
  <si>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</si>
  <si>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</si>
  <si>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</si>
  <si>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</si>
  <si>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</si>
  <si>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</si>
  <si>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</si>
  <si>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</si>
  <si>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</si>
  <si>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</si>
  <si>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</si>
  <si>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</si>
  <si>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</si>
  <si>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</si>
  <si>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</si>
  <si>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</si>
  <si>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</si>
  <si>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</si>
  <si>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https://finance.yahoo.com/quote/VMAR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</si>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</sst>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MA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MAR" TargetMode="External"/><Relationship Id="rId5" Type="http://schemas.openxmlformats.org/officeDocument/2006/relationships/hyperlink" Target="https://finance.yahoo.com/quote/VM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2700539000</v>
      </c>
      <c r="C2">
        <v>2418000000</v>
      </c>
      <c r="D2">
        <v>1567000000</v>
      </c>
      <c r="E2">
        <v>2207000000</v>
      </c>
    </row>
    <row r="3" spans="1:5" x14ac:dyDescent="0.25">
      <c r="A3" t="s">
        <v>2</v>
      </c>
      <c r="B3">
        <v>3923013000</v>
      </c>
      <c r="C3">
        <v>249000000</v>
      </c>
      <c r="D3">
        <v>91000000</v>
      </c>
      <c r="E3">
        <v>35000000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2793663000</v>
      </c>
      <c r="C6">
        <v>1605000000</v>
      </c>
      <c r="D6">
        <v>1011000000</v>
      </c>
      <c r="E6">
        <v>735000000</v>
      </c>
    </row>
    <row r="7" spans="1:5" x14ac:dyDescent="0.25">
      <c r="A7" t="s">
        <v>6</v>
      </c>
      <c r="B7">
        <v>-96639000</v>
      </c>
      <c r="C7">
        <v>564342013</v>
      </c>
      <c r="D7">
        <v>4163000000</v>
      </c>
      <c r="E7">
        <v>3037000000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53244000</v>
      </c>
      <c r="C10">
        <v>17227051</v>
      </c>
      <c r="D10">
        <v>19000000</v>
      </c>
      <c r="E10">
        <v>9000000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99587000</v>
      </c>
      <c r="C11">
        <v>331000000</v>
      </c>
      <c r="D11">
        <v>455000000</v>
      </c>
      <c r="E11">
        <v>516000000</v>
      </c>
    </row>
    <row r="12" spans="1:5" x14ac:dyDescent="0.25">
      <c r="A12" t="s">
        <v>11</v>
      </c>
      <c r="B12">
        <v>236591000</v>
      </c>
      <c r="C12">
        <v>-390000000</v>
      </c>
      <c r="D12">
        <v>-656000000</v>
      </c>
      <c r="E12">
        <v>-448000000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45637000</v>
      </c>
      <c r="C16">
        <v>22010</v>
      </c>
      <c r="D16">
        <v>3000000</v>
      </c>
      <c r="E16">
        <v>6000000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-510149000</v>
      </c>
      <c r="C18">
        <v>-704000000</v>
      </c>
      <c r="D18">
        <v>-193000000</v>
      </c>
      <c r="E18">
        <v>-261000000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589914000</v>
      </c>
      <c r="C22">
        <v>779000000</v>
      </c>
      <c r="D22">
        <v>709000000</v>
      </c>
      <c r="E22">
        <v>641000000</v>
      </c>
    </row>
    <row r="23" spans="1:5" x14ac:dyDescent="0.25">
      <c r="A23" t="s">
        <v>21</v>
      </c>
      <c r="B23">
        <v>358969000</v>
      </c>
      <c r="C23">
        <v>63000000</v>
      </c>
      <c r="D23">
        <v>214000000</v>
      </c>
      <c r="E23">
        <v>49000000</v>
      </c>
    </row>
    <row r="24" spans="1:5" x14ac:dyDescent="0.25">
      <c r="A24" t="s">
        <v>22</v>
      </c>
      <c r="B24">
        <v>1867611000</v>
      </c>
      <c r="C24">
        <v>-842462820</v>
      </c>
      <c r="D24">
        <v>1777000000</v>
      </c>
      <c r="E24">
        <v>910000000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3488086000</v>
      </c>
      <c r="C26">
        <v>1441232000</v>
      </c>
      <c r="D26">
        <v>296895000</v>
      </c>
      <c r="E26">
        <v>287000000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25356334000</v>
      </c>
      <c r="D37">
        <v>21756000000</v>
      </c>
      <c r="E37">
        <v>17863000000</v>
      </c>
    </row>
    <row r="38" spans="1:5" x14ac:dyDescent="0.25">
      <c r="A38" t="s">
        <v>34</v>
      </c>
      <c r="B38">
        <v>0</v>
      </c>
      <c r="C38">
        <v>33030119000</v>
      </c>
      <c r="D38">
        <v>23638000000</v>
      </c>
      <c r="E38">
        <v>21533000000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