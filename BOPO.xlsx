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<sst xmlns="http://schemas.openxmlformats.org/spreadsheetml/2006/main" count="72" uniqueCount="68">
  <si>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</si>
  <si>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</si>
  <si>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</si>
  <si>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</si>
  <si>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</si>
  <si>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</si>
  <si>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</si>
  <si>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</si>
  <si>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</si>
  <si>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</si>
  <si>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</si>
  <si>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</si>
  <si>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</si>
  <si>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</si>
  <si>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</si>
  <si>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</si>
  <si>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</si>
  <si>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</si>
  <si>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</si>
  <si>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</si>
  <si>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</si>
  <si>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</si>
  <si>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</si>
  <si>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</si>
  <si>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</si>
  <si>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</si>
  <si>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</si>
  <si>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</si>
  <si>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</si>
  <si>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</si>
  <si>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</si>
  <si>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</si>
  <si>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</si>
  <si>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</si>
  <si>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</si>
  <si>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</si>
  <si>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</si>
  <si>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</si>
  <si>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</si>
  <si>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</si>
  <si>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</si>
  <si>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</si>
  <si>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</si>
  <si>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</si>
  <si>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</si>
  <si>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https://finance.yahoo.com/quote/BOPO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</si>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</sst>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P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PO" TargetMode="External"/><Relationship Id="rId5" Type="http://schemas.openxmlformats.org/officeDocument/2006/relationships/hyperlink" Target="https://finance.yahoo.com/quote/BOP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63571</v>
      </c>
      <c r="E2" s="3">
        <v>0</v>
      </c>
      <c r="F2" s="3">
        <v>0</v>
      </c>
      <c r="G2" s="3">
        <v>13420</v>
      </c>
      <c r="H2" s="3">
        <v>0</v>
      </c>
      <c r="I2" s="3">
        <v>0</v>
      </c>
      <c r="J2" s="3">
        <v>175000</v>
      </c>
      <c r="K2" s="3">
        <v>571700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1334</v>
      </c>
      <c r="C6" s="3">
        <v>964604</v>
      </c>
      <c r="D6" s="3">
        <v>984870</v>
      </c>
      <c r="E6" s="3">
        <v>1301598</v>
      </c>
      <c r="F6" s="3">
        <v>2021003</v>
      </c>
      <c r="G6" s="3">
        <v>1968811</v>
      </c>
      <c r="H6" s="3">
        <v>0</v>
      </c>
      <c r="I6" s="3">
        <v>0</v>
      </c>
      <c r="J6" s="3">
        <v>461263</v>
      </c>
      <c r="K6" s="3">
        <v>1163484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</v>
      </c>
      <c r="D7" s="3">
        <v>301484</v>
      </c>
      <c r="E7" s="3">
        <v>-32086</v>
      </c>
      <c r="F7" s="3">
        <v>-178303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-41130</v>
      </c>
      <c r="F10" s="3">
        <v>-72018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0</v>
      </c>
      <c r="L10" s="3">
        <v>0</v>
      </c>
      <c r="M10" s="3">
        <v>-155061</v>
      </c>
      <c r="N10" s="3">
        <v>-200750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4050</v>
      </c>
      <c r="D11" s="3">
        <v>51665</v>
      </c>
      <c r="E11" s="3">
        <v>32086</v>
      </c>
      <c r="F11" s="3">
        <v>106285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-72018</v>
      </c>
      <c r="G12" s="3">
        <v>-255969</v>
      </c>
      <c r="H12" s="3">
        <v>-129745</v>
      </c>
      <c r="I12" s="3">
        <v>-129745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3447</v>
      </c>
      <c r="D22" s="3">
        <v>5552</v>
      </c>
      <c r="E22" s="3">
        <v>5552</v>
      </c>
      <c r="F22" s="3">
        <v>12341</v>
      </c>
      <c r="G22" s="3">
        <v>9215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436220</v>
      </c>
      <c r="F23" s="3">
        <v>343251</v>
      </c>
      <c r="G23" s="3">
        <v>75835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530</v>
      </c>
      <c r="C24" s="3">
        <v>646492</v>
      </c>
      <c r="D24" s="3">
        <v>1026706</v>
      </c>
      <c r="E24" s="3">
        <v>664378</v>
      </c>
      <c r="F24" s="3">
        <v>1404929</v>
      </c>
      <c r="G24" s="3">
        <v>1839863</v>
      </c>
      <c r="H24" s="3">
        <v>129745</v>
      </c>
      <c r="I24" s="3">
        <v>129745</v>
      </c>
      <c r="J24" s="3">
        <v>237297</v>
      </c>
      <c r="K24" s="3">
        <v>1098645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27760</v>
      </c>
      <c r="D26" s="3">
        <v>0</v>
      </c>
      <c r="E26" s="3">
        <v>15612</v>
      </c>
      <c r="F26" s="3">
        <v>4754</v>
      </c>
      <c r="G26" s="3">
        <v>9040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24313</v>
      </c>
      <c r="D36" s="3">
        <v>18761</v>
      </c>
      <c r="E36" s="3">
        <v>28821</v>
      </c>
      <c r="F36" s="3">
        <v>21234</v>
      </c>
      <c r="G36" s="3">
        <v>10876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20124</v>
      </c>
      <c r="C37" s="3">
        <v>294233</v>
      </c>
      <c r="D37" s="3">
        <v>86309</v>
      </c>
      <c r="E37" s="3">
        <v>188284</v>
      </c>
      <c r="F37" s="3">
        <v>48363</v>
      </c>
      <c r="G37" s="3">
        <v>31802</v>
      </c>
      <c r="H37" s="3">
        <v>0</v>
      </c>
      <c r="I37" s="3">
        <v>0</v>
      </c>
      <c r="J37" s="3">
        <v>95973</v>
      </c>
      <c r="K37" s="3">
        <v>14049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21457</v>
      </c>
      <c r="C38" s="3">
        <v>550031</v>
      </c>
      <c r="D38" s="3">
        <v>1564355</v>
      </c>
      <c r="E38" s="3">
        <v>1825095</v>
      </c>
      <c r="F38" s="3">
        <v>2143505</v>
      </c>
      <c r="G38" s="3">
        <v>3905990</v>
      </c>
      <c r="H38" s="3">
        <v>4234724</v>
      </c>
      <c r="I38" s="3">
        <v>4364469</v>
      </c>
      <c r="J38" s="3">
        <v>5507151</v>
      </c>
      <c r="K38" s="3">
        <v>5953792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K37-K38</f>
      </c>
      <c r="I39" s="3">
        <f>L37-L38</f>
      </c>
      <c r="J39" s="3">
        <f>M37-M38</f>
      </c>
      <c r="K39" s="3">
        <f>N37-N38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