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<sst xmlns="http://schemas.openxmlformats.org/spreadsheetml/2006/main" count="72" uniqueCount="68">
  <si>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</si>
  <si>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</si>
  <si>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</si>
  <si>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</si>
  <si>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</si>
  <si>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</si>
  <si>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</si>
  <si>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</si>
  <si>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</si>
  <si>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</si>
  <si>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</si>
  <si>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</si>
  <si>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</si>
  <si>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</si>
  <si>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</si>
  <si>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</si>
  <si>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</si>
  <si>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</si>
  <si>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</si>
  <si>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</si>
  <si>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</si>
  <si>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</si>
  <si>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</si>
  <si>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</si>
  <si>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</si>
  <si>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</si>
  <si>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</si>
  <si>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</si>
  <si>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</si>
  <si>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</si>
  <si>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</si>
  <si>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</si>
  <si>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</si>
  <si>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</si>
  <si>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</si>
  <si>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</si>
  <si>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</si>
  <si>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</si>
  <si>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</si>
  <si>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</si>
  <si>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</si>
  <si>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</si>
  <si>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</si>
  <si>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</si>
  <si>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</si>
  <si>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https://finance.yahoo.com/quote/NUNZ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</si>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</sst>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N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NZ" TargetMode="External"/><Relationship Id="rId5" Type="http://schemas.openxmlformats.org/officeDocument/2006/relationships/hyperlink" Target="https://finance.yahoo.com/quote/NU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100977000</v>
      </c>
      <c r="L2" s="3">
        <v>1862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71319</v>
      </c>
      <c r="C6" s="3">
        <v>30653</v>
      </c>
      <c r="D6" s="3">
        <v>7416</v>
      </c>
      <c r="E6" s="3">
        <v>28731</v>
      </c>
      <c r="F6" s="3">
        <v>28709</v>
      </c>
      <c r="G6" s="3">
        <v>750</v>
      </c>
      <c r="H6" s="3">
        <v>13043</v>
      </c>
      <c r="I6" s="3">
        <v>27172</v>
      </c>
      <c r="J6" s="3">
        <v>33635</v>
      </c>
      <c r="K6" s="3">
        <v>39327</v>
      </c>
      <c r="L6" s="3">
        <v>37760908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40300000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0</v>
      </c>
      <c r="J10" s="3">
        <v>0</v>
      </c>
      <c r="K10" s="3">
        <v>0</v>
      </c>
      <c r="L10" s="3">
        <v>-100977000</v>
      </c>
      <c r="M10" s="3">
        <v>-1862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8596</v>
      </c>
      <c r="J12" s="3">
        <v>0</v>
      </c>
      <c r="K12" s="3">
        <v>-100977000</v>
      </c>
      <c r="L12" s="3">
        <v>-1862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2498</v>
      </c>
      <c r="L23" s="3">
        <v>78000000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71319</v>
      </c>
      <c r="C24" s="3">
        <v>30653</v>
      </c>
      <c r="D24" s="3">
        <v>7416</v>
      </c>
      <c r="E24" s="3">
        <v>28731</v>
      </c>
      <c r="F24" s="3">
        <v>28709</v>
      </c>
      <c r="G24" s="3">
        <v>750</v>
      </c>
      <c r="H24" s="3">
        <v>13043</v>
      </c>
      <c r="I24" s="3">
        <v>18576</v>
      </c>
      <c r="J24" s="3">
        <v>29835</v>
      </c>
      <c r="K24" s="3">
        <v>100981535</v>
      </c>
      <c r="L24" s="3">
        <v>-24006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5131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166089</v>
      </c>
      <c r="C38" s="3">
        <v>196742</v>
      </c>
      <c r="D38" s="3">
        <v>204158</v>
      </c>
      <c r="E38" s="3">
        <v>232889</v>
      </c>
      <c r="F38" s="3">
        <v>261598</v>
      </c>
      <c r="G38" s="3">
        <v>262348</v>
      </c>
      <c r="H38" s="3">
        <v>275391</v>
      </c>
      <c r="I38" s="3">
        <v>293967</v>
      </c>
      <c r="J38" s="3">
        <v>22575</v>
      </c>
      <c r="K38" s="3">
        <v>59404</v>
      </c>
      <c r="L38" s="3">
        <v>99305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I37-I38</f>
      </c>
      <c r="I39" s="3">
        <f>J37-J38</f>
      </c>
      <c r="J39" s="3">
        <f>K37-K38</f>
      </c>
      <c r="K39" s="3">
        <f>L37-L38</f>
      </c>
      <c r="L39" s="3">
        <f>M37-M38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