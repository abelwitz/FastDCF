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<sst xmlns="http://schemas.openxmlformats.org/spreadsheetml/2006/main" count="74" uniqueCount="71">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</sst>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10613</v>
      </c>
      <c r="C2" s="3">
        <v>478642</v>
      </c>
      <c r="D2" s="3">
        <v>595171</v>
      </c>
      <c r="E2" s="3">
        <v>652527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154052</v>
      </c>
      <c r="C5" s="3">
        <v>569937</v>
      </c>
      <c r="D5" s="3">
        <v>625177</v>
      </c>
      <c r="E5" s="3">
        <v>652408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7516</v>
      </c>
      <c r="C6" s="3">
        <v>108362</v>
      </c>
      <c r="D6" s="3">
        <v>101991</v>
      </c>
      <c r="E6" s="3">
        <v>106347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368</v>
      </c>
      <c r="C10" s="3">
        <v>304</v>
      </c>
      <c r="D10" s="3">
        <v>6</v>
      </c>
      <c r="E10" s="3">
        <v>47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1122</v>
      </c>
      <c r="C11" s="3">
        <v>36170</v>
      </c>
      <c r="D11" s="3">
        <v>46992</v>
      </c>
      <c r="E11" s="3">
        <v>39909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-754</v>
      </c>
      <c r="C12" s="3">
        <v>-35866</v>
      </c>
      <c r="D12" s="3">
        <v>-46986</v>
      </c>
      <c r="E12" s="3">
        <v>-39862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5">
      <c r="A13" s="2" t="s">
        <v>12</v>
      </c>
      <c r="B13" s="3">
        <v>12232</v>
      </c>
      <c r="C13" s="3">
        <v>83</v>
      </c>
      <c r="D13" s="3">
        <v>14044</v>
      </c>
      <c r="E13" s="3">
        <v>323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>
        <f>Z12+Z13</f>
      </c>
    </row>
    <row r="15" spans="1:2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>
        <f>Z9+Z14-Z15</f>
      </c>
    </row>
    <row r="17" spans="1:25" x14ac:dyDescent="0.25">
      <c r="A17" s="2" t="s">
        <v>16</v>
      </c>
      <c r="B17" s="3">
        <v>0</v>
      </c>
      <c r="C17" s="3">
        <v>-138449</v>
      </c>
      <c r="D17" s="3">
        <v>-58368</v>
      </c>
      <c r="E17" s="3">
        <v>-50989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>
        <f>Z16-Z17+Z18-Z19+Z20+Z21</f>
      </c>
    </row>
    <row r="23" spans="1:2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8406</v>
      </c>
      <c r="C24" s="3">
        <v>158526</v>
      </c>
      <c r="D24" s="3">
        <v>170311</v>
      </c>
      <c r="E24" s="3">
        <v>176375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x14ac:dyDescent="0.25">
      <c r="A25" s="2" t="s">
        <v>23</v>
      </c>
      <c r="B25" s="3">
        <v>0</v>
      </c>
      <c r="C25" s="3">
        <v>0</v>
      </c>
      <c r="D25" s="3">
        <v>0</v>
      </c>
      <c r="E25" s="3">
        <v>0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x14ac:dyDescent="0.25">
      <c r="A26" s="2" t="s">
        <v>24</v>
      </c>
      <c r="B26" s="3">
        <v>55319</v>
      </c>
      <c r="C26" s="3">
        <v>-180195</v>
      </c>
      <c r="D26" s="3">
        <v>-54581</v>
      </c>
      <c r="E26" s="3">
        <v>43252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>
        <f>Z22+Z24+Z25+Z26</f>
      </c>
    </row>
    <row r="28" spans="1:25" x14ac:dyDescent="0.25">
      <c r="A28" s="2" t="s">
        <v>26</v>
      </c>
      <c r="B28" s="3">
        <v>889197</v>
      </c>
      <c r="C28" s="3">
        <v>375118</v>
      </c>
      <c r="D28" s="3">
        <v>38869</v>
      </c>
      <c r="E28" s="3">
        <v>57764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>
        <f>Z27-Z28</f>
      </c>
    </row>
    <row r="30" spans="1:2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>
        <f>IF(AND(COUNT(Y29,Z29)=2, Z29&lt;&gt;0, Y2&lt;&gt;0), Z27/Y29-1, " ")</f>
      </c>
    </row>
    <row r="37" spans="1:2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3111688</v>
      </c>
      <c r="C38" s="3">
        <v>3111248</v>
      </c>
      <c r="D38" s="3">
        <v>2937062</v>
      </c>
      <c r="E38" s="3">
        <v>2854990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v>3336721</v>
      </c>
      <c r="C39" s="3">
        <v>3496765</v>
      </c>
      <c r="D39" s="3">
        <v>3320932</v>
      </c>
      <c r="E39" s="3">
        <v>3204822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2" t="s">
        <v>36</v>
      </c>
      <c r="B40" s="3">
        <v>3450178</v>
      </c>
      <c r="C40" s="3">
        <v>3720535</v>
      </c>
      <c r="D40" s="3">
        <v>3651273</v>
      </c>
      <c r="E40" s="3">
        <v>3629941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2023-12-24T11:01:42Z</cp:lastPrinted>
  <dcterms:created xsi:type="dcterms:W3CDTF">2023-12-24T11:01:42Z</dcterms:created>
  <dcterms:modified xsi:type="dcterms:W3CDTF">2023-12-24T11:01:42Z</dcterms:modified>
</cp:coreProperties>
</file>