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<sst xmlns="http://schemas.openxmlformats.org/spreadsheetml/2006/main" count="72" uniqueCount="69">
  <si>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</si>
  <si>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</si>
  <si>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</si>
  <si>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</si>
  <si>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</si>
  <si>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</si>
  <si>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</si>
  <si>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</si>
  <si>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</si>
  <si>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</si>
  <si>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</si>
  <si>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</si>
  <si>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</si>
  <si>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</si>
  <si>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</si>
  <si>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</si>
  <si>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</si>
  <si>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</si>
  <si>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</si>
  <si>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</si>
  <si>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</si>
  <si>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</si>
  <si>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</si>
  <si>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</si>
  <si>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</si>
  <si>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</si>
  <si>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</si>
  <si>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</si>
  <si>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</si>
  <si>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</si>
  <si>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</si>
  <si>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</si>
  <si>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</si>
  <si>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</si>
  <si>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</si>
  <si>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</si>
  <si>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</si>
  <si>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</si>
  <si>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</si>
  <si>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</si>
  <si>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</si>
  <si>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</si>
  <si>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</si>
  <si>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</si>
  <si>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</si>
  <si>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</si>
  <si>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https://finance.yahoo.com/quote/RZB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</si>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</sst>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RZB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RZB" TargetMode="External"/><Relationship Id="rId5" Type="http://schemas.openxmlformats.org/officeDocument/2006/relationships/hyperlink" Target="https://finance.yahoo.com/quote/RZB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26" x14ac:dyDescent="0.25">
      <c r="A1" s="1" t="s">
        <v>0</v>
      </c>
      <c r="B1" s="2">
        <v>2009</v>
      </c>
      <c r="C1" s="2">
        <v>2010</v>
      </c>
      <c r="D1" s="2">
        <v>2011</v>
      </c>
      <c r="E1" s="2">
        <v>2012</v>
      </c>
      <c r="F1" s="2">
        <v>2013</v>
      </c>
      <c r="G1" s="2">
        <v>2014</v>
      </c>
      <c r="H1" s="2">
        <v>2015</v>
      </c>
      <c r="I1" s="2">
        <v>2016</v>
      </c>
      <c r="J1" s="2">
        <v>2017</v>
      </c>
      <c r="K1" s="2">
        <v>2018</v>
      </c>
      <c r="L1" s="2">
        <v>2019</v>
      </c>
      <c r="M1" s="2">
        <v>2020</v>
      </c>
      <c r="N1" s="2">
        <v>2021</v>
      </c>
      <c r="O1" s="2">
        <v>2022</v>
      </c>
      <c r="P1" s="2">
        <v>2023</v>
      </c>
      <c r="Q1" s="2">
        <v>2024</v>
      </c>
      <c r="R1" s="2">
        <v>2025</v>
      </c>
      <c r="S1" s="2">
        <v>2026</v>
      </c>
      <c r="T1" s="2">
        <v>2027</v>
      </c>
      <c r="U1" s="2">
        <v>2028</v>
      </c>
      <c r="V1" s="2">
        <v>2029</v>
      </c>
      <c r="W1" s="2">
        <v>2030</v>
      </c>
      <c r="X1" s="2">
        <v>2031</v>
      </c>
      <c r="Y1" s="2">
        <v>2032</v>
      </c>
      <c r="Z1" s="2">
        <v>2033</v>
      </c>
    </row>
    <row r="2" spans="1:26" x14ac:dyDescent="0.25">
      <c r="A2" s="2" t="s">
        <v>1</v>
      </c>
      <c r="B2" s="3">
        <v>7066822</v>
      </c>
      <c r="C2" s="3">
        <v>2274129</v>
      </c>
      <c r="D2" s="3">
        <v>2338718</v>
      </c>
      <c r="E2" s="3">
        <v>2716841</v>
      </c>
      <c r="F2" s="3">
        <v>2734837</v>
      </c>
      <c r="G2" s="3">
        <v>2698317</v>
      </c>
      <c r="H2" s="3">
        <v>2828249</v>
      </c>
      <c r="I2" s="3">
        <v>3068426</v>
      </c>
      <c r="J2" s="3">
        <v>3231443</v>
      </c>
      <c r="K2" s="3">
        <v>3300184</v>
      </c>
      <c r="L2" s="3">
        <v>3768000</v>
      </c>
      <c r="M2" s="3">
        <v>4120000</v>
      </c>
      <c r="N2" s="3">
        <v>4330000</v>
      </c>
      <c r="O2" s="3">
        <v>16242000</v>
      </c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spans="1:26" x14ac:dyDescent="0.25">
      <c r="A3" s="2" t="s">
        <v>2</v>
      </c>
      <c r="B3" s="3">
        <v>0</v>
      </c>
      <c r="C3" s="3">
        <v>0</v>
      </c>
      <c r="D3" s="3">
        <v>0</v>
      </c>
      <c r="E3" s="3">
        <v>0</v>
      </c>
      <c r="F3" s="3">
        <v>0</v>
      </c>
      <c r="G3" s="3">
        <v>0</v>
      </c>
      <c r="H3" s="3">
        <v>0</v>
      </c>
      <c r="I3" s="3">
        <v>0</v>
      </c>
      <c r="J3" s="3">
        <v>0</v>
      </c>
      <c r="K3" s="3">
        <v>0</v>
      </c>
      <c r="L3" s="3">
        <v>0</v>
      </c>
      <c r="M3" s="3">
        <v>0</v>
      </c>
      <c r="N3" s="3">
        <v>0</v>
      </c>
      <c r="O3" s="3">
        <v>0</v>
      </c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 s="3">
        <f>Z2-Z3</f>
      </c>
    </row>
    <row r="5" spans="1:26" x14ac:dyDescent="0.25">
      <c r="A5" s="2" t="s">
        <v>4</v>
      </c>
      <c r="B5" s="3">
        <v>0</v>
      </c>
      <c r="C5" s="3">
        <v>0</v>
      </c>
      <c r="D5" s="3">
        <v>0</v>
      </c>
      <c r="E5" s="3">
        <v>0</v>
      </c>
      <c r="F5" s="3">
        <v>0</v>
      </c>
      <c r="G5" s="3">
        <v>0</v>
      </c>
      <c r="H5" s="3">
        <v>0</v>
      </c>
      <c r="I5" s="3">
        <v>0</v>
      </c>
      <c r="J5" s="3">
        <v>0</v>
      </c>
      <c r="K5" s="3">
        <v>0</v>
      </c>
      <c r="L5" s="3">
        <v>0</v>
      </c>
      <c r="M5" s="3">
        <v>0</v>
      </c>
      <c r="N5" s="3">
        <v>0</v>
      </c>
      <c r="O5" s="3">
        <v>0</v>
      </c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spans="1:26" x14ac:dyDescent="0.25">
      <c r="A6" s="2" t="s">
        <v>5</v>
      </c>
      <c r="B6" s="3">
        <v>1042192</v>
      </c>
      <c r="C6" s="3">
        <v>1126777</v>
      </c>
      <c r="D6" s="3">
        <v>895813</v>
      </c>
      <c r="E6" s="3">
        <v>1192517</v>
      </c>
      <c r="F6" s="3">
        <v>1087579</v>
      </c>
      <c r="G6" s="3">
        <v>1151088</v>
      </c>
      <c r="H6" s="3">
        <v>395996</v>
      </c>
      <c r="I6" s="3">
        <v>557055</v>
      </c>
      <c r="J6" s="3">
        <v>706000</v>
      </c>
      <c r="K6" s="3">
        <v>574000</v>
      </c>
      <c r="L6" s="3">
        <v>609000</v>
      </c>
      <c r="M6" s="3">
        <v>589000</v>
      </c>
      <c r="N6" s="3">
        <v>680000</v>
      </c>
      <c r="O6" s="3">
        <v>454000</v>
      </c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spans="1:26" x14ac:dyDescent="0.25">
      <c r="A7" s="2" t="s">
        <v>6</v>
      </c>
      <c r="B7" s="3">
        <v>5717433</v>
      </c>
      <c r="C7" s="3">
        <v>837674</v>
      </c>
      <c r="D7" s="3">
        <v>1269638</v>
      </c>
      <c r="E7" s="3">
        <v>639737</v>
      </c>
      <c r="F7" s="3">
        <v>1629272</v>
      </c>
      <c r="G7" s="3">
        <v>577024</v>
      </c>
      <c r="H7" s="3">
        <v>2243383</v>
      </c>
      <c r="I7" s="3">
        <v>1661520</v>
      </c>
      <c r="J7" s="3">
        <v>1528555</v>
      </c>
      <c r="K7" s="3">
        <v>2712000</v>
      </c>
      <c r="L7" s="3">
        <v>1808000</v>
      </c>
      <c r="M7" s="3">
        <v>2500000</v>
      </c>
      <c r="N7" s="3">
        <v>3793000</v>
      </c>
      <c r="O7" s="3">
        <v>17431000</v>
      </c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 s="3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 s="3">
        <f>Z4-Z8</f>
      </c>
    </row>
    <row r="10" spans="1:26" x14ac:dyDescent="0.25">
      <c r="A10" s="2" t="s">
        <v>9</v>
      </c>
      <c r="B10" s="3">
        <v>0</v>
      </c>
      <c r="C10" s="3">
        <v>0</v>
      </c>
      <c r="D10" s="3">
        <v>0</v>
      </c>
      <c r="E10" s="3">
        <v>0</v>
      </c>
      <c r="F10" s="3">
        <v>0</v>
      </c>
      <c r="G10" s="3">
        <v>0</v>
      </c>
      <c r="H10" s="3">
        <v>0</v>
      </c>
      <c r="I10" s="3">
        <v>0</v>
      </c>
      <c r="J10" s="3">
        <v>0</v>
      </c>
      <c r="K10" s="3">
        <v>0</v>
      </c>
      <c r="L10" s="3">
        <v>0</v>
      </c>
      <c r="M10" s="3">
        <v>0</v>
      </c>
      <c r="N10" s="3">
        <v>0</v>
      </c>
      <c r="O10" s="3">
        <v>0</v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6" x14ac:dyDescent="0.25">
      <c r="A11" s="2" t="s">
        <v>10</v>
      </c>
      <c r="B11" s="3">
        <v>69940</v>
      </c>
      <c r="C11" s="3">
        <v>90996</v>
      </c>
      <c r="D11" s="3">
        <v>102638</v>
      </c>
      <c r="E11" s="3">
        <v>105348</v>
      </c>
      <c r="F11" s="3">
        <v>124307</v>
      </c>
      <c r="G11" s="3">
        <v>96700</v>
      </c>
      <c r="H11" s="3">
        <v>142863</v>
      </c>
      <c r="I11" s="3">
        <v>137623</v>
      </c>
      <c r="J11" s="3">
        <v>146000</v>
      </c>
      <c r="K11" s="3">
        <v>147000</v>
      </c>
      <c r="L11" s="3">
        <v>173000</v>
      </c>
      <c r="M11" s="3">
        <v>170000</v>
      </c>
      <c r="N11" s="3">
        <v>127000</v>
      </c>
      <c r="O11" s="3">
        <v>184000</v>
      </c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 spans="1:26" x14ac:dyDescent="0.25">
      <c r="A12" s="2" t="s">
        <v>11</v>
      </c>
      <c r="B12" s="3">
        <v>355088</v>
      </c>
      <c r="C12" s="3">
        <v>267445</v>
      </c>
      <c r="D12" s="3">
        <v>275975</v>
      </c>
      <c r="E12" s="3">
        <v>-275181</v>
      </c>
      <c r="F12" s="3">
        <v>465740</v>
      </c>
      <c r="G12" s="3">
        <v>-357024</v>
      </c>
      <c r="H12" s="3">
        <v>359407</v>
      </c>
      <c r="I12" s="3">
        <v>-180448</v>
      </c>
      <c r="J12" s="3">
        <v>-314000</v>
      </c>
      <c r="K12" s="3">
        <v>394000</v>
      </c>
      <c r="L12" s="3">
        <v>-698000</v>
      </c>
      <c r="M12" s="3">
        <v>-614000</v>
      </c>
      <c r="N12" s="3">
        <v>471000</v>
      </c>
      <c r="O12" s="3">
        <v>2536000</v>
      </c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 s="3">
        <f>R10-R11+R12</f>
      </c>
      <c r="S13" s="3">
        <f>S10-S11+S12</f>
      </c>
      <c r="T13" s="3">
        <f>T10-T11+T12</f>
      </c>
      <c r="U13" s="3">
        <f>U10-U11+U12</f>
      </c>
      <c r="V13" s="3">
        <f>V10-V11+V12</f>
      </c>
      <c r="W13" s="3">
        <f>W10-W11+W12</f>
      </c>
      <c r="X13" s="3">
        <f>X10-X11+X12</f>
      </c>
      <c r="Y13" s="3">
        <f>Y10-Y11+Y12</f>
      </c>
      <c r="Z13" s="3">
        <f>Z10-Z11+Z12</f>
      </c>
    </row>
    <row r="14" spans="1:26" x14ac:dyDescent="0.25">
      <c r="A14" s="2" t="s">
        <v>13</v>
      </c>
      <c r="B14" s="3"/>
      <c r="C14" s="3"/>
      <c r="D14" s="3">
        <v>-9501</v>
      </c>
      <c r="E14" s="3">
        <v>-6261</v>
      </c>
      <c r="F14" s="3">
        <v>-1957</v>
      </c>
      <c r="G14" s="3">
        <v>904</v>
      </c>
      <c r="H14" s="3">
        <v>-342</v>
      </c>
      <c r="I14" s="3">
        <v>-872</v>
      </c>
      <c r="J14" s="3">
        <v>-1000</v>
      </c>
      <c r="K14" s="3">
        <v>-2000</v>
      </c>
      <c r="L14" s="3">
        <v>-1000</v>
      </c>
      <c r="M14" s="3">
        <v>-38000</v>
      </c>
      <c r="N14" s="3">
        <v>-29000</v>
      </c>
      <c r="O14" s="3">
        <v>-16000</v>
      </c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 s="3">
        <f>R9+R13-R14</f>
      </c>
      <c r="S15" s="3">
        <f>S9+S13-S14</f>
      </c>
      <c r="T15" s="3">
        <f>T9+T13-T14</f>
      </c>
      <c r="U15" s="3">
        <f>U9+U13-U14</f>
      </c>
      <c r="V15" s="3">
        <f>V9+V13-V14</f>
      </c>
      <c r="W15" s="3">
        <f>W9+W13-W14</f>
      </c>
      <c r="X15" s="3">
        <f>X9+X13-X14</f>
      </c>
      <c r="Y15" s="3">
        <f>Y9+Y13-Y14</f>
      </c>
      <c r="Z15" s="3">
        <f>Z9+Z13-Z14</f>
      </c>
    </row>
    <row r="16" spans="1:26" x14ac:dyDescent="0.25">
      <c r="A16" s="2" t="s">
        <v>15</v>
      </c>
      <c r="B16" s="3">
        <v>185259</v>
      </c>
      <c r="C16" s="3">
        <v>289415</v>
      </c>
      <c r="D16" s="3">
        <v>217526</v>
      </c>
      <c r="E16" s="3">
        <v>287330</v>
      </c>
      <c r="F16" s="3">
        <v>216417</v>
      </c>
      <c r="G16" s="3">
        <v>324486</v>
      </c>
      <c r="H16" s="3">
        <v>242629</v>
      </c>
      <c r="I16" s="3">
        <v>342503</v>
      </c>
      <c r="J16" s="3">
        <v>-679000</v>
      </c>
      <c r="K16" s="3">
        <v>130000</v>
      </c>
      <c r="L16" s="3">
        <v>262000</v>
      </c>
      <c r="M16" s="3">
        <v>138000</v>
      </c>
      <c r="N16" s="3">
        <v>74000</v>
      </c>
      <c r="O16" s="3">
        <v>204000</v>
      </c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 spans="1:26" x14ac:dyDescent="0.25">
      <c r="A17" s="2" t="s">
        <v>16</v>
      </c>
      <c r="B17" s="3">
        <v>0</v>
      </c>
      <c r="C17" s="3">
        <v>0</v>
      </c>
      <c r="D17" s="3">
        <v>0</v>
      </c>
      <c r="E17" s="3">
        <v>0</v>
      </c>
      <c r="F17" s="3">
        <v>0</v>
      </c>
      <c r="G17" s="3">
        <v>0</v>
      </c>
      <c r="H17" s="3">
        <v>0</v>
      </c>
      <c r="I17" s="3">
        <v>0</v>
      </c>
      <c r="J17" s="3">
        <v>0</v>
      </c>
      <c r="K17" s="3">
        <v>0</v>
      </c>
      <c r="L17" s="3">
        <v>0</v>
      </c>
      <c r="M17" s="3">
        <v>0</v>
      </c>
      <c r="N17" s="3">
        <v>0</v>
      </c>
      <c r="O17" s="3">
        <v>0</v>
      </c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spans="1:26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>
        <v>0</v>
      </c>
      <c r="H18" s="3">
        <v>0</v>
      </c>
      <c r="I18" s="3">
        <v>0</v>
      </c>
      <c r="J18" s="3">
        <v>0</v>
      </c>
      <c r="K18" s="3">
        <v>0</v>
      </c>
      <c r="L18" s="3">
        <v>0</v>
      </c>
      <c r="M18" s="3">
        <v>0</v>
      </c>
      <c r="N18" s="3">
        <v>0</v>
      </c>
      <c r="O18" s="3">
        <v>4000</v>
      </c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spans="1:26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>
        <v>0</v>
      </c>
      <c r="H19" s="3">
        <v>0</v>
      </c>
      <c r="I19" s="3">
        <v>0</v>
      </c>
      <c r="J19" s="3">
        <v>0</v>
      </c>
      <c r="K19" s="3">
        <v>-23184</v>
      </c>
      <c r="L19" s="3">
        <v>16000</v>
      </c>
      <c r="M19" s="3">
        <v>-15000</v>
      </c>
      <c r="N19" s="3">
        <v>0</v>
      </c>
      <c r="O19" s="3">
        <v>0</v>
      </c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 s="3">
        <f>R15-R16+R17-R18+R19</f>
      </c>
      <c r="S20" s="3">
        <f>S15-S16+S17-S18+S19</f>
      </c>
      <c r="T20" s="3">
        <f>T15-T16+T17-T18+T19</f>
      </c>
      <c r="U20" s="3">
        <f>U15-U16+U17-U18+U19</f>
      </c>
      <c r="V20" s="3">
        <f>V15-V16+V17-V18+V19</f>
      </c>
      <c r="W20" s="3">
        <f>W15-W16+W17-W18+W19</f>
      </c>
      <c r="X20" s="3">
        <f>X15-X16+X17-X18+X19</f>
      </c>
      <c r="Y20" s="3">
        <f>Y15-Y16+Y17-Y18+Y19</f>
      </c>
      <c r="Z20" s="3">
        <f>Z15-Z16+Z17-Z18+Z19</f>
      </c>
    </row>
    <row r="21" spans="1:26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spans="1:26" x14ac:dyDescent="0.25">
      <c r="A22" s="2" t="s">
        <v>20</v>
      </c>
      <c r="B22" s="3">
        <v>1042192</v>
      </c>
      <c r="C22" s="3">
        <v>1126777</v>
      </c>
      <c r="D22" s="3">
        <v>895813</v>
      </c>
      <c r="E22" s="3">
        <v>1192517</v>
      </c>
      <c r="F22" s="3">
        <v>1087579</v>
      </c>
      <c r="G22" s="3">
        <v>1151088</v>
      </c>
      <c r="H22" s="3">
        <v>395996</v>
      </c>
      <c r="I22" s="3">
        <v>557055</v>
      </c>
      <c r="J22" s="3">
        <v>706000</v>
      </c>
      <c r="K22" s="3">
        <v>574000</v>
      </c>
      <c r="L22" s="3">
        <v>609000</v>
      </c>
      <c r="M22" s="3">
        <v>589000</v>
      </c>
      <c r="N22" s="3">
        <v>680000</v>
      </c>
      <c r="O22" s="3">
        <v>454000</v>
      </c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 spans="1:26" x14ac:dyDescent="0.25">
      <c r="A23" s="2" t="s">
        <v>21</v>
      </c>
      <c r="B23" s="3">
        <v>0</v>
      </c>
      <c r="C23" s="3">
        <v>0</v>
      </c>
      <c r="D23" s="3">
        <v>0</v>
      </c>
      <c r="E23" s="3">
        <v>0</v>
      </c>
      <c r="F23" s="3">
        <v>0</v>
      </c>
      <c r="G23" s="3">
        <v>0</v>
      </c>
      <c r="H23" s="3">
        <v>0</v>
      </c>
      <c r="I23" s="3">
        <v>0</v>
      </c>
      <c r="J23" s="3">
        <v>0</v>
      </c>
      <c r="K23" s="3">
        <v>0</v>
      </c>
      <c r="L23" s="3">
        <v>0</v>
      </c>
      <c r="M23" s="3">
        <v>0</v>
      </c>
      <c r="N23" s="3">
        <v>0</v>
      </c>
      <c r="O23" s="3">
        <v>0</v>
      </c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spans="1:26" x14ac:dyDescent="0.25">
      <c r="A24" s="2" t="s">
        <v>22</v>
      </c>
      <c r="B24" s="3">
        <v>-85042</v>
      </c>
      <c r="C24" s="3">
        <v>519251</v>
      </c>
      <c r="D24" s="3">
        <v>275140</v>
      </c>
      <c r="E24" s="3">
        <v>559021</v>
      </c>
      <c r="F24" s="3">
        <v>494622</v>
      </c>
      <c r="G24" s="3">
        <v>993976</v>
      </c>
      <c r="H24" s="3">
        <v>1529492</v>
      </c>
      <c r="I24" s="3">
        <v>718514</v>
      </c>
      <c r="J24" s="3">
        <v>59112</v>
      </c>
      <c r="K24" s="3">
        <v>897000</v>
      </c>
      <c r="L24" s="3">
        <v>1463000</v>
      </c>
      <c r="M24" s="3">
        <v>2601000</v>
      </c>
      <c r="N24" s="3">
        <v>3346000</v>
      </c>
      <c r="O24" s="3">
        <v>372000</v>
      </c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 s="3">
        <f>R20+R22+R23+R24</f>
      </c>
      <c r="S25" s="3">
        <f>S20+S22+S23+S24</f>
      </c>
      <c r="T25" s="3">
        <f>T20+T22+T23+T24</f>
      </c>
      <c r="U25" s="3">
        <f>U20+U22+U23+U24</f>
      </c>
      <c r="V25" s="3">
        <f>V20+V22+V23+V24</f>
      </c>
      <c r="W25" s="3">
        <f>W20+W22+W23+W24</f>
      </c>
      <c r="X25" s="3">
        <f>X20+X22+X23+X24</f>
      </c>
      <c r="Y25" s="3">
        <f>Y20+Y22+Y23+Y24</f>
      </c>
      <c r="Z25" s="3">
        <f>Z20+Z22+Z23+Z24</f>
      </c>
    </row>
    <row r="26" spans="1:26" x14ac:dyDescent="0.25">
      <c r="A26" s="2" t="s">
        <v>24</v>
      </c>
      <c r="B26" s="3">
        <v>1891376</v>
      </c>
      <c r="C26" s="3">
        <v>1833774</v>
      </c>
      <c r="D26" s="3">
        <v>1002189</v>
      </c>
      <c r="E26" s="3">
        <v>0</v>
      </c>
      <c r="F26" s="3">
        <v>0</v>
      </c>
      <c r="G26" s="3">
        <v>88361</v>
      </c>
      <c r="H26" s="3">
        <v>23553</v>
      </c>
      <c r="I26" s="3">
        <v>44642</v>
      </c>
      <c r="J26" s="3">
        <v>44000</v>
      </c>
      <c r="K26" s="3">
        <v>29000</v>
      </c>
      <c r="L26" s="3">
        <v>34000</v>
      </c>
      <c r="M26" s="3">
        <v>28000</v>
      </c>
      <c r="N26" s="3">
        <v>19000</v>
      </c>
      <c r="O26" s="3">
        <v>25000</v>
      </c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 s="3">
        <f>R25-R26</f>
      </c>
      <c r="S27" s="3">
        <f>S25-S26</f>
      </c>
      <c r="T27" s="3">
        <f>T25-T26</f>
      </c>
      <c r="U27" s="3">
        <f>U25-U26</f>
      </c>
      <c r="V27" s="3">
        <f>V25-V26</f>
      </c>
      <c r="W27" s="3">
        <f>W25-W26</f>
      </c>
      <c r="X27" s="3">
        <f>X25-X26</f>
      </c>
      <c r="Y27" s="3">
        <f>Y25-Y26</f>
      </c>
      <c r="Z27" s="3">
        <f>Z25-Z26</f>
      </c>
    </row>
    <row r="28" spans="1:26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 s="4">
        <f>IF(AND(COUNT(Q2,R2)=2, R2&lt;&gt;0, Q2&lt;&gt;0), R2/Q2-1, " ")</f>
      </c>
      <c r="S29" s="4">
        <f>IF(AND(COUNT(R2,S2)=2, S2&lt;&gt;0, R2&lt;&gt;0), S2/R2-1, " ")</f>
      </c>
      <c r="T29" s="4">
        <f>IF(AND(COUNT(S2,T2)=2, T2&lt;&gt;0, S2&lt;&gt;0), T2/S2-1, " ")</f>
      </c>
      <c r="U29" s="4">
        <f>IF(AND(COUNT(T2,U2)=2, U2&lt;&gt;0, T2&lt;&gt;0), U2/T2-1, " ")</f>
      </c>
      <c r="V29" s="4">
        <f>IF(AND(COUNT(U2,V2)=2, V2&lt;&gt;0, U2&lt;&gt;0), V2/U2-1, " ")</f>
      </c>
      <c r="W29" s="4">
        <f>IF(AND(COUNT(V2,W2)=2, W2&lt;&gt;0, V2&lt;&gt;0), W2/V2-1, " ")</f>
      </c>
      <c r="X29" s="4">
        <f>IF(AND(COUNT(W2,X2)=2, X2&lt;&gt;0, W2&lt;&gt;0), X2/W2-1, " ")</f>
      </c>
      <c r="Y29" s="4">
        <f>IF(AND(COUNT(X2,Y2)=2, Y2&lt;&gt;0, X2&lt;&gt;0), Y2/X2-1, " ")</f>
      </c>
      <c r="Z29" s="4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 s="4">
        <f>IF(AND(COUNT(R2,R4)=2, R2&lt;&gt;0), R4/R2, " ")</f>
      </c>
      <c r="S30" s="4">
        <f>IF(AND(COUNT(S2,S4)=2, S2&lt;&gt;0), S4/S2, " ")</f>
      </c>
      <c r="T30" s="4">
        <f>IF(AND(COUNT(T2,T4)=2, T2&lt;&gt;0), T4/T2, " ")</f>
      </c>
      <c r="U30" s="4">
        <f>IF(AND(COUNT(U2,U4)=2, U2&lt;&gt;0), U4/U2, " ")</f>
      </c>
      <c r="V30" s="4">
        <f>IF(AND(COUNT(V2,V4)=2, V2&lt;&gt;0), V4/V2, " ")</f>
      </c>
      <c r="W30" s="4">
        <f>IF(AND(COUNT(W2,W4)=2, W2&lt;&gt;0), W4/W2, " ")</f>
      </c>
      <c r="X30" s="4">
        <f>IF(AND(COUNT(X2,X4)=2, X2&lt;&gt;0), X4/X2, " ")</f>
      </c>
      <c r="Y30" s="4">
        <f>IF(AND(COUNT(Y2,Y4)=2, Y2&lt;&gt;0), Y4/Y2, " ")</f>
      </c>
      <c r="Z30" s="4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 s="4">
        <f>IF(AND(COUNT(R2,R9)=2, R2&lt;&gt;0), R9/R2, " ")</f>
      </c>
      <c r="S31" s="4">
        <f>IF(AND(COUNT(S2,S9)=2, S2&lt;&gt;0), S9/S2, " ")</f>
      </c>
      <c r="T31" s="4">
        <f>IF(AND(COUNT(T2,T9)=2, T2&lt;&gt;0), T9/T2, " ")</f>
      </c>
      <c r="U31" s="4">
        <f>IF(AND(COUNT(U2,U9)=2, U2&lt;&gt;0), U9/U2, " ")</f>
      </c>
      <c r="V31" s="4">
        <f>IF(AND(COUNT(V2,V9)=2, V2&lt;&gt;0), V9/V2, " ")</f>
      </c>
      <c r="W31" s="4">
        <f>IF(AND(COUNT(W2,W9)=2, W2&lt;&gt;0), W9/W2, " ")</f>
      </c>
      <c r="X31" s="4">
        <f>IF(AND(COUNT(X2,X9)=2, X2&lt;&gt;0), X9/X2, " ")</f>
      </c>
      <c r="Y31" s="4">
        <f>IF(AND(COUNT(Y2,Y9)=2, Y2&lt;&gt;0), Y9/Y2, " ")</f>
      </c>
      <c r="Z31" s="4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 s="4">
        <f>IF(AND(COUNT(R15,R15)=2, R15&lt;&gt;0), R16/R15, " ")</f>
      </c>
      <c r="S32" s="4">
        <f>IF(AND(COUNT(S15,S15)=2, S15&lt;&gt;0), S16/S15, " ")</f>
      </c>
      <c r="T32" s="4">
        <f>IF(AND(COUNT(T15,T15)=2, T15&lt;&gt;0), T16/T15, " ")</f>
      </c>
      <c r="U32" s="4">
        <f>IF(AND(COUNT(U15,U15)=2, U15&lt;&gt;0), U16/U15, " ")</f>
      </c>
      <c r="V32" s="4">
        <f>IF(AND(COUNT(V15,V15)=2, V15&lt;&gt;0), V16/V15, " ")</f>
      </c>
      <c r="W32" s="4">
        <f>IF(AND(COUNT(W15,W15)=2, W15&lt;&gt;0), W16/W15, " ")</f>
      </c>
      <c r="X32" s="4">
        <f>IF(AND(COUNT(X15,X15)=2, X15&lt;&gt;0), X16/X15, " ")</f>
      </c>
      <c r="Y32" s="4">
        <f>IF(AND(COUNT(Y15,Y15)=2, Y15&lt;&gt;0), Y16/Y15, " ")</f>
      </c>
      <c r="Z32" s="4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 s="4">
        <f>IF(AND(COUNT(R20,R2)=2, R2&lt;&gt;0), R20/R2, " ")</f>
      </c>
      <c r="S33" s="4">
        <f>IF(AND(COUNT(S20,S2)=2, S2&lt;&gt;0), S20/S2, " ")</f>
      </c>
      <c r="T33" s="4">
        <f>IF(AND(COUNT(T20,T2)=2, T2&lt;&gt;0), T20/T2, " ")</f>
      </c>
      <c r="U33" s="4">
        <f>IF(AND(COUNT(U20,U2)=2, U2&lt;&gt;0), U20/U2, " ")</f>
      </c>
      <c r="V33" s="4">
        <f>IF(AND(COUNT(V20,V2)=2, V2&lt;&gt;0), V20/V2, " ")</f>
      </c>
      <c r="W33" s="4">
        <f>IF(AND(COUNT(W20,W2)=2, W2&lt;&gt;0), W20/W2, " ")</f>
      </c>
      <c r="X33" s="4">
        <f>IF(AND(COUNT(X20,X2)=2, X2&lt;&gt;0), X20/X2, " ")</f>
      </c>
      <c r="Y33" s="4">
        <f>IF(AND(COUNT(Y20,Y2)=2, Y2&lt;&gt;0), Y20/Y2, " ")</f>
      </c>
      <c r="Z33" s="4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 s="4">
        <f>IF(AND(COUNT(Q27,R27)=2, R27&lt;&gt;0, Q2&lt;&gt;0), R27/Q27-1, " ")</f>
      </c>
      <c r="S34" s="4">
        <f>IF(AND(COUNT(R27,S27)=2, S27&lt;&gt;0, R2&lt;&gt;0), S27/R27-1, " ")</f>
      </c>
      <c r="T34" s="4">
        <f>IF(AND(COUNT(S27,T27)=2, T27&lt;&gt;0, S2&lt;&gt;0), T27/S27-1, " ")</f>
      </c>
      <c r="U34" s="4">
        <f>IF(AND(COUNT(T27,U27)=2, U27&lt;&gt;0, T2&lt;&gt;0), U27/T27-1, " ")</f>
      </c>
      <c r="V34" s="4">
        <f>IF(AND(COUNT(U27,V27)=2, V27&lt;&gt;0, U2&lt;&gt;0), V27/U27-1, " ")</f>
      </c>
      <c r="W34" s="4">
        <f>IF(AND(COUNT(V27,W27)=2, W27&lt;&gt;0, V2&lt;&gt;0), W27/V27-1, " ")</f>
      </c>
      <c r="X34" s="4">
        <f>IF(AND(COUNT(W27,X27)=2, X27&lt;&gt;0, W2&lt;&gt;0), X27/W27-1, " ")</f>
      </c>
      <c r="Y34" s="4">
        <f>IF(AND(COUNT(X27,Y27)=2, Y27&lt;&gt;0, X2&lt;&gt;0), Y27/X27-1, " ")</f>
      </c>
      <c r="Z34" s="4">
        <f>IF(AND(COUNT(Y27,Z27)=2, Z27&lt;&gt;0, Y2&lt;&gt;0), Z27/Y27-1, " ")</f>
      </c>
    </row>
    <row r="35" spans="1:26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 spans="1:26" x14ac:dyDescent="0.25">
      <c r="A36" s="2" t="s">
        <v>32</v>
      </c>
      <c r="B36" s="3">
        <v>0</v>
      </c>
      <c r="C36" s="3">
        <v>0</v>
      </c>
      <c r="D36" s="3">
        <v>0</v>
      </c>
      <c r="E36" s="3">
        <v>0</v>
      </c>
      <c r="F36" s="3">
        <v>0</v>
      </c>
      <c r="G36" s="3">
        <v>0</v>
      </c>
      <c r="H36" s="3">
        <v>0</v>
      </c>
      <c r="I36" s="3">
        <v>0</v>
      </c>
      <c r="J36" s="3">
        <v>0</v>
      </c>
      <c r="K36" s="3">
        <v>0</v>
      </c>
      <c r="L36" s="3">
        <v>0</v>
      </c>
      <c r="M36" s="3">
        <v>0</v>
      </c>
      <c r="N36" s="3">
        <v>0</v>
      </c>
      <c r="O36" s="3">
        <v>0</v>
      </c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 spans="1:26" x14ac:dyDescent="0.25">
      <c r="A37" s="2" t="s">
        <v>33</v>
      </c>
      <c r="B37" s="3">
        <v>25249501</v>
      </c>
      <c r="C37" s="3">
        <v>29081908</v>
      </c>
      <c r="D37" s="3">
        <v>31633973</v>
      </c>
      <c r="E37" s="3">
        <v>40360438</v>
      </c>
      <c r="F37" s="3">
        <v>39674473</v>
      </c>
      <c r="G37" s="3">
        <v>44654300</v>
      </c>
      <c r="H37" s="3">
        <v>50383152</v>
      </c>
      <c r="I37" s="3">
        <v>53097879</v>
      </c>
      <c r="J37" s="3">
        <v>60514818</v>
      </c>
      <c r="K37" s="3">
        <v>64535000</v>
      </c>
      <c r="L37" s="3">
        <v>76731000</v>
      </c>
      <c r="M37" s="3">
        <v>84656000</v>
      </c>
      <c r="N37" s="3">
        <v>92175000</v>
      </c>
      <c r="O37" s="3">
        <v>84706000</v>
      </c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spans="1:26" x14ac:dyDescent="0.25">
      <c r="A38" s="2" t="s">
        <v>34</v>
      </c>
      <c r="B38" s="3">
        <v>21609747</v>
      </c>
      <c r="C38" s="3">
        <v>24316502</v>
      </c>
      <c r="D38" s="3">
        <v>25815275</v>
      </c>
      <c r="E38" s="3">
        <v>33450251</v>
      </c>
      <c r="F38" s="3">
        <v>33738946</v>
      </c>
      <c r="G38" s="3">
        <v>37630848</v>
      </c>
      <c r="H38" s="3">
        <v>44247771</v>
      </c>
      <c r="I38" s="3">
        <v>46004879</v>
      </c>
      <c r="J38" s="3">
        <v>50944818</v>
      </c>
      <c r="K38" s="3">
        <v>56085000</v>
      </c>
      <c r="L38" s="3">
        <v>65130000</v>
      </c>
      <c r="M38" s="3">
        <v>70304000</v>
      </c>
      <c r="N38" s="3">
        <v>79161000</v>
      </c>
      <c r="O38" s="3">
        <v>80561000</v>
      </c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spans="1:26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>
        <f>E37-E38</f>
      </c>
      <c r="F39" s="3">
        <f>F37-F38</f>
      </c>
      <c r="G39" s="3">
        <f>G37-G38</f>
      </c>
      <c r="H39" s="3">
        <f>H37-H38</f>
      </c>
      <c r="I39" s="3">
        <f>I37-I38</f>
      </c>
      <c r="J39" s="3">
        <f>J37-J38</f>
      </c>
      <c r="K39" s="3">
        <f>K37-K38</f>
      </c>
      <c r="L39" s="3">
        <f>L37-L38</f>
      </c>
      <c r="M39" s="3">
        <f>M37-M38</f>
      </c>
      <c r="N39" s="3">
        <f>N37-N38</f>
      </c>
      <c r="O39" s="3">
        <f>O37-O38</f>
      </c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36</v>
      </c>
    </row>
    <row r="3" spans="1:3" x14ac:dyDescent="0.25">
      <c r="A3" t="s">
        <v>37</v>
      </c>
      <c r="B3">
        <f>MATCH("Free Cash Flow to Firm", Financials!A:A, 0)</f>
      </c>
      <c r="C3" t="s">
        <v>38</v>
      </c>
    </row>
    <row r="4" spans="1:2" x14ac:dyDescent="0.25">
      <c r="A4" t="s">
        <v>39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40</v>
      </c>
      <c r="B6" s="4"/>
      <c r="C6" t="s">
        <v>41</v>
      </c>
    </row>
    <row r="7" spans="1:3" x14ac:dyDescent="0.25">
      <c r="A7" s="2" t="s">
        <v>42</v>
      </c>
      <c r="B7" s="4"/>
      <c r="C7" t="s">
        <v>43</v>
      </c>
    </row>
    <row r="8" spans="1:4" x14ac:dyDescent="0.25">
      <c r="A8" s="2" t="s">
        <v>44</v>
      </c>
      <c r="C8" t="s">
        <v>45</v>
      </c>
      <c r="D8" t="s">
        <v>46</v>
      </c>
    </row>
    <row r="9" spans="1:4" x14ac:dyDescent="0.25">
      <c r="A9" s="2" t="s">
        <v>47</v>
      </c>
      <c r="B9" s="4"/>
      <c r="C9" t="s">
        <v>48</v>
      </c>
      <c r="D9" t="s">
        <v>49</v>
      </c>
    </row>
    <row r="10" spans="1:4" x14ac:dyDescent="0.25">
      <c r="A10" s="2" t="s">
        <v>50</v>
      </c>
      <c r="B10" s="4"/>
      <c r="C10" t="s">
        <v>51</v>
      </c>
      <c r="D10" t="s">
        <v>52</v>
      </c>
    </row>
    <row r="11" spans="1:2" x14ac:dyDescent="0.25">
      <c r="A11" s="2" t="s">
        <v>53</v>
      </c>
      <c r="B11" s="4">
        <f>B10+B9*B8</f>
      </c>
    </row>
    <row r="12" spans="1:3" x14ac:dyDescent="0.25">
      <c r="A12" s="2" t="s">
        <v>54</v>
      </c>
      <c r="B12" s="4"/>
      <c r="C12" t="s">
        <v>55</v>
      </c>
    </row>
    <row r="13" spans="1:4" x14ac:dyDescent="0.25">
      <c r="A13" s="2" t="s">
        <v>56</v>
      </c>
      <c r="B13" s="3"/>
      <c r="C13" t="s">
        <v>57</v>
      </c>
      <c r="D13" t="s">
        <v>46</v>
      </c>
    </row>
    <row r="14" spans="1:3" x14ac:dyDescent="0.25">
      <c r="A14" s="2" t="s">
        <v>58</v>
      </c>
      <c r="B14" s="3"/>
      <c r="C14" t="s">
        <v>59</v>
      </c>
    </row>
    <row r="15" spans="1:2" x14ac:dyDescent="0.25">
      <c r="A15" t="s">
        <v>60</v>
      </c>
      <c r="B15" s="4">
        <f>IF(B13+B14&lt;&gt;0,((B13/(B13+B14))*B11)+((B14/(B13+B14))*B12*B7), 0)</f>
      </c>
    </row>
    <row r="16" spans="1:2" x14ac:dyDescent="0.25">
      <c r="A16" t="s">
        <v>61</v>
      </c>
      <c r="B16" s="4">
        <f>IF(B4-NOW()&gt;=0, MIN(YEARFRAC(NOW(),B4),1), 0)</f>
      </c>
    </row>
    <row r="17" spans="1:2" x14ac:dyDescent="0.25">
      <c r="A17" t="s">
        <v>62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63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64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65</v>
      </c>
      <c r="B20" s="3"/>
      <c r="C20" t="s">
        <v>66</v>
      </c>
    </row>
    <row r="21" spans="1:4" x14ac:dyDescent="0.25">
      <c r="A21" s="2" t="s">
        <v>67</v>
      </c>
      <c r="B21" s="3"/>
      <c r="C21" t="s">
        <v>57</v>
      </c>
      <c r="D21" t="s">
        <v>46</v>
      </c>
    </row>
    <row r="22" spans="1:2" x14ac:dyDescent="0.25">
      <c r="A22" t="s">
        <v>68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2023-12-22T01:43:45Z</cp:lastPrinted>
  <dcterms:created xsi:type="dcterms:W3CDTF">2023-12-22T01:43:45Z</dcterms:created>
  <dcterms:modified xsi:type="dcterms:W3CDTF">2023-12-22T01:43:45Z</dcterms:modified>
</cp:coreProperties>
</file>