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<sst xmlns="http://schemas.openxmlformats.org/spreadsheetml/2006/main" count="72" uniqueCount="68">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</sst>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PT" TargetMode="External"/><Relationship Id="rId5" Type="http://schemas.openxmlformats.org/officeDocument/2006/relationships/hyperlink" Target="https://finance.yahoo.com/quote/CH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144515000</v>
      </c>
      <c r="D2" s="3">
        <v>146490000</v>
      </c>
      <c r="E2" s="3">
        <v>241006000</v>
      </c>
      <c r="F2" s="3">
        <v>468094000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126473000</v>
      </c>
      <c r="D3" s="3">
        <v>113541000</v>
      </c>
      <c r="E3" s="3">
        <v>187473000</v>
      </c>
      <c r="F3" s="3">
        <v>382161000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69464000</v>
      </c>
      <c r="D5" s="3">
        <v>75017000</v>
      </c>
      <c r="E5" s="3">
        <v>145043000</v>
      </c>
      <c r="F5" s="3">
        <v>194957000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934695</v>
      </c>
      <c r="C6" s="3">
        <v>62746166</v>
      </c>
      <c r="D6" s="3">
        <v>78924000</v>
      </c>
      <c r="E6" s="3">
        <v>173930000</v>
      </c>
      <c r="F6" s="3">
        <v>232758000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87928</v>
      </c>
      <c r="C7" s="3">
        <v>18195834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3245000</v>
      </c>
      <c r="D10" s="3">
        <v>315000</v>
      </c>
      <c r="E10" s="3">
        <v>98000</v>
      </c>
      <c r="F10" s="3">
        <v>5534000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3544000</v>
      </c>
      <c r="D11" s="3">
        <v>3253000</v>
      </c>
      <c r="E11" s="3">
        <v>1502000</v>
      </c>
      <c r="F11" s="3">
        <v>9434000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559044</v>
      </c>
      <c r="C12" s="3">
        <v>-182456326</v>
      </c>
      <c r="D12" s="3">
        <v>-72896000</v>
      </c>
      <c r="E12" s="3">
        <v>131673000</v>
      </c>
      <c r="F12" s="3">
        <v>-1593000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479064</v>
      </c>
      <c r="C16" s="3">
        <v>201603</v>
      </c>
      <c r="D16" s="3">
        <v>198000</v>
      </c>
      <c r="E16" s="3">
        <v>-2930000</v>
      </c>
      <c r="F16" s="3">
        <v>-2167000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7698000</v>
      </c>
      <c r="D22" s="3">
        <v>10083000</v>
      </c>
      <c r="E22" s="3">
        <v>16457000</v>
      </c>
      <c r="F22" s="3">
        <v>25050000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2937000</v>
      </c>
      <c r="D23" s="3">
        <v>4947000</v>
      </c>
      <c r="E23" s="3">
        <v>67331000</v>
      </c>
      <c r="F23" s="3">
        <v>93350000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-54717</v>
      </c>
      <c r="C24" s="3">
        <v>302561173</v>
      </c>
      <c r="D24" s="3">
        <v>90148000</v>
      </c>
      <c r="E24" s="3">
        <v>-108725000</v>
      </c>
      <c r="F24" s="3">
        <v>-40341000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314117630</v>
      </c>
      <c r="C26" s="3">
        <v>14885000</v>
      </c>
      <c r="D26" s="3">
        <v>11484000</v>
      </c>
      <c r="E26" s="3">
        <v>16410000</v>
      </c>
      <c r="F26" s="3">
        <v>18563000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29988000</v>
      </c>
      <c r="E36" s="3">
        <v>34593000</v>
      </c>
      <c r="F36" s="3">
        <v>40046000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317171896</v>
      </c>
      <c r="C37" s="3">
        <v>317341509</v>
      </c>
      <c r="D37" s="3">
        <v>290120000</v>
      </c>
      <c r="E37" s="3">
        <v>855897000</v>
      </c>
      <c r="F37" s="3">
        <v>1079957000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312171890</v>
      </c>
      <c r="C38" s="3">
        <v>312341508</v>
      </c>
      <c r="D38" s="3">
        <v>906641000</v>
      </c>
      <c r="E38" s="3">
        <v>308883000</v>
      </c>
      <c r="F38" s="3">
        <v>724965000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