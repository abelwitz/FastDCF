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<sst xmlns="http://schemas.openxmlformats.org/spreadsheetml/2006/main" count="74" uniqueCount="70">
  <si>
    <t>(in nominal terms)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</si>
  <si>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</si>
  <si>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</si>
  <si>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</si>
  <si>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</si>
  <si>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</si>
  <si>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</si>
  <si>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</si>
  <si>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</si>
  <si>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</si>
  <si>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</si>
  <si>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</si>
  <si>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</si>
  <si>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</si>
  <si>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</si>
  <si>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</si>
  <si>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</si>
  <si>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</si>
  <si>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</si>
  <si>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</si>
  <si>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</si>
  <si>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</si>
  <si>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</si>
  <si>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</si>
  <si>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</si>
  <si>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</si>
  <si>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</si>
  <si>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</si>
  <si>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</si>
  <si>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</si>
  <si>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</si>
  <si>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</si>
  <si>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</si>
  <si>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</si>
  <si>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</si>
  <si>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</si>
  <si>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</si>
  <si>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</si>
  <si>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</si>
  <si>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</si>
  <si>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</si>
  <si>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</si>
  <si>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</si>
  <si>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</si>
  <si>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</si>
  <si>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</si>
  <si>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</si>
  <si>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https://finance.yahoo.com/quote/RGC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</si>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</sst>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dd/mm"/>
    <numFmt numFmtId="165" formatCode="#,##0;-#,##0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164" fontId="0" fillId="0" borderId="0" xfId="0" applyNumberFormat="1"/>
    <xf numFmtId="0" fontId="2" fillId="0" borderId="0" xfId="0" applyFon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RGC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RGC" TargetMode="External"/><Relationship Id="rId5" Type="http://schemas.openxmlformats.org/officeDocument/2006/relationships/hyperlink" Target="https://finance.yahoo.com/quote/RGC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" x14ac:dyDescent="0.25">
      <c r="A1" t="s">
        <v>0</v>
      </c>
    </row>
    <row r="2" spans="1:5" x14ac:dyDescent="0.25">
      <c r="A2" t="s">
        <v>1</v>
      </c>
      <c r="B2">
        <v>15677</v>
      </c>
      <c r="C2">
        <v>24926</v>
      </c>
      <c r="D2">
        <v>26544</v>
      </c>
      <c r="E2">
        <v>21718</v>
      </c>
    </row>
    <row r="3" spans="1:5" x14ac:dyDescent="0.25">
      <c r="A3" t="s">
        <v>2</v>
      </c>
      <c r="B3">
        <v>0</v>
      </c>
      <c r="C3">
        <v>0</v>
      </c>
      <c r="D3">
        <v>0</v>
      </c>
      <c r="E3">
        <v>0</v>
      </c>
    </row>
    <row r="4" spans="1:26" x14ac:dyDescent="0.25">
      <c r="A4" t="s">
        <v>3</v>
      </c>
      <c r="B4">
        <f>B2-B3</f>
      </c>
      <c r="C4">
        <f>C2-C3</f>
      </c>
      <c r="D4">
        <f>D2-D3</f>
      </c>
      <c r="E4">
        <f>E2-E3</f>
      </c>
      <c r="F4">
        <f>F2-F3</f>
      </c>
      <c r="G4">
        <f>G2-G3</f>
      </c>
      <c r="H4">
        <f>H2-H3</f>
      </c>
      <c r="I4">
        <f>I2-I3</f>
      </c>
      <c r="J4">
        <f>J2-J3</f>
      </c>
      <c r="K4">
        <f>K2-K3</f>
      </c>
      <c r="L4">
        <f>L2-L3</f>
      </c>
      <c r="M4">
        <f>M2-M3</f>
      </c>
      <c r="N4">
        <f>N2-N3</f>
      </c>
      <c r="O4">
        <f>O2-O3</f>
      </c>
      <c r="P4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5" x14ac:dyDescent="0.25">
      <c r="A5" t="s">
        <v>4</v>
      </c>
      <c r="B5">
        <v>0</v>
      </c>
      <c r="C5">
        <v>0</v>
      </c>
      <c r="D5">
        <v>0</v>
      </c>
      <c r="E5">
        <v>0</v>
      </c>
    </row>
    <row r="6" spans="1:5" x14ac:dyDescent="0.25">
      <c r="A6" t="s">
        <v>5</v>
      </c>
      <c r="B6">
        <v>69999</v>
      </c>
      <c r="C6">
        <v>71901</v>
      </c>
      <c r="D6">
        <v>73942</v>
      </c>
      <c r="E6">
        <v>71989</v>
      </c>
    </row>
    <row r="7" spans="1:5" x14ac:dyDescent="0.25">
      <c r="A7" t="s">
        <v>6</v>
      </c>
      <c r="B7">
        <v>28030</v>
      </c>
      <c r="C7">
        <v>86874</v>
      </c>
      <c r="D7">
        <v>28343</v>
      </c>
      <c r="E7">
        <v>25012</v>
      </c>
    </row>
    <row r="8" spans="1:26" x14ac:dyDescent="0.25">
      <c r="A8" t="s">
        <v>7</v>
      </c>
      <c r="B8">
        <f>B5+B6+B7</f>
      </c>
      <c r="C8">
        <f>C5+C6+C7</f>
      </c>
      <c r="D8">
        <f>D5+D6+D7</f>
      </c>
      <c r="E8">
        <f>E5+E6+E7</f>
      </c>
      <c r="F8">
        <f>F5+F6+F7</f>
      </c>
      <c r="G8">
        <f>G5+G6+G7</f>
      </c>
      <c r="H8">
        <f>H5+H6+H7</f>
      </c>
      <c r="I8">
        <f>I5+I6+I7</f>
      </c>
      <c r="J8">
        <f>J5+J6+J7</f>
      </c>
      <c r="K8">
        <f>K5+K6+K7</f>
      </c>
      <c r="L8">
        <f>L5+L6+L7</f>
      </c>
      <c r="M8">
        <f>M5+M6+M7</f>
      </c>
      <c r="N8">
        <f>N5+N6+N7</f>
      </c>
      <c r="O8">
        <f>O5+O6+O7</f>
      </c>
      <c r="P8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t="s">
        <v>8</v>
      </c>
      <c r="B9">
        <f>B4-B8</f>
      </c>
      <c r="C9">
        <f>C4-C8</f>
      </c>
      <c r="D9">
        <f>D4-D8</f>
      </c>
      <c r="E9">
        <f>E4-E8</f>
      </c>
      <c r="F9">
        <f>F4-F8</f>
      </c>
      <c r="G9">
        <f>G4-G8</f>
      </c>
      <c r="H9">
        <f>H4-H8</f>
      </c>
      <c r="I9">
        <f>I4-I8</f>
      </c>
      <c r="J9">
        <f>J4-J8</f>
      </c>
      <c r="K9">
        <f>K4-K8</f>
      </c>
      <c r="L9">
        <f>L4-L8</f>
      </c>
      <c r="M9">
        <f>M4-M8</f>
      </c>
      <c r="N9">
        <f>N4-N8</f>
      </c>
      <c r="O9">
        <f>O4-O8</f>
      </c>
      <c r="P9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t="s">
        <v>9</v>
      </c>
      <c r="B10">
        <v>159120</v>
      </c>
      <c r="C10">
        <v>140941</v>
      </c>
      <c r="D10">
        <v>133897</v>
      </c>
      <c r="E10">
        <v>160182</v>
      </c>
      <c r="F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5" x14ac:dyDescent="0.25">
      <c r="A11" t="s">
        <v>10</v>
      </c>
      <c r="B11">
        <v>46773</v>
      </c>
      <c r="C11">
        <v>35826</v>
      </c>
      <c r="D11">
        <v>22714</v>
      </c>
      <c r="E11">
        <v>20254</v>
      </c>
    </row>
    <row r="12" spans="1:5" x14ac:dyDescent="0.25">
      <c r="A12" t="s">
        <v>11</v>
      </c>
      <c r="B12">
        <v>112347</v>
      </c>
      <c r="C12">
        <v>105115</v>
      </c>
      <c r="D12">
        <v>111183</v>
      </c>
      <c r="E12">
        <v>139928</v>
      </c>
    </row>
    <row r="13" spans="1:5" x14ac:dyDescent="0.25">
      <c r="A13" t="s">
        <v>12</v>
      </c>
      <c r="B13">
        <v>1193</v>
      </c>
      <c r="C13">
        <v>1654</v>
      </c>
      <c r="D13">
        <v>2337</v>
      </c>
      <c r="E13">
        <v>0</v>
      </c>
    </row>
    <row r="14" spans="1:26" x14ac:dyDescent="0.25">
      <c r="A14" t="s">
        <v>13</v>
      </c>
      <c r="B14">
        <f>B12+B13</f>
      </c>
      <c r="C14">
        <f>C12+C13</f>
      </c>
      <c r="D14">
        <f>D12+D13</f>
      </c>
      <c r="E14">
        <f>E12+E13</f>
      </c>
      <c r="F14">
        <f>F12+F13</f>
      </c>
      <c r="G14">
        <f>G12+G13</f>
      </c>
      <c r="H14">
        <f>H12+H13</f>
      </c>
      <c r="I14">
        <f>I12+I13</f>
      </c>
      <c r="J14">
        <f>J12+J13</f>
      </c>
      <c r="K14">
        <f>K12+K13</f>
      </c>
      <c r="L14">
        <f>L12+L13</f>
      </c>
      <c r="M14">
        <f>M12+M13</f>
      </c>
      <c r="N14">
        <f>N12+N13</f>
      </c>
      <c r="O14">
        <f>O12+O13</f>
      </c>
      <c r="P14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5" x14ac:dyDescent="0.25">
      <c r="A15" t="s">
        <v>14</v>
      </c>
      <c r="B15">
        <v>3404</v>
      </c>
      <c r="C15">
        <v>18006</v>
      </c>
      <c r="D15">
        <v>2081</v>
      </c>
      <c r="E15">
        <v>2928</v>
      </c>
    </row>
    <row r="16" spans="1:26" x14ac:dyDescent="0.25">
      <c r="A16" t="s">
        <v>15</v>
      </c>
      <c r="B16">
        <f>B9+B14-B15</f>
      </c>
      <c r="C16">
        <f>C9+C14-C15</f>
      </c>
      <c r="D16">
        <f>D9+D14-D15</f>
      </c>
      <c r="E16">
        <f>E9+E14-E15</f>
      </c>
      <c r="F16">
        <f>F9+F14-F15</f>
      </c>
      <c r="G16">
        <f>G9+G14-G15</f>
      </c>
      <c r="H16">
        <f>H9+H14-H15</f>
      </c>
      <c r="I16">
        <f>I9+I14-I15</f>
      </c>
      <c r="J16">
        <f>J9+J14-J15</f>
      </c>
      <c r="K16">
        <f>K9+K14-K15</f>
      </c>
      <c r="L16">
        <f>L9+L14-L15</f>
      </c>
      <c r="M16">
        <f>M9+M14-M15</f>
      </c>
      <c r="N16">
        <f>N9+N14-N15</f>
      </c>
      <c r="O16">
        <f>O9+O14-O15</f>
      </c>
      <c r="P16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5" x14ac:dyDescent="0.25">
      <c r="A17" t="s">
        <v>16</v>
      </c>
      <c r="B17">
        <v>1209</v>
      </c>
      <c r="C17">
        <v>772</v>
      </c>
      <c r="D17">
        <v>4108</v>
      </c>
      <c r="E17">
        <v>11599</v>
      </c>
    </row>
    <row r="18" spans="1:5" x14ac:dyDescent="0.25">
      <c r="A18" t="s">
        <v>17</v>
      </c>
      <c r="B18">
        <v>0</v>
      </c>
      <c r="C18">
        <v>0</v>
      </c>
      <c r="D18">
        <v>0</v>
      </c>
      <c r="E18">
        <v>0</v>
      </c>
    </row>
    <row r="19" spans="1:5" x14ac:dyDescent="0.25">
      <c r="A19" t="s">
        <v>18</v>
      </c>
      <c r="B19">
        <v>0</v>
      </c>
      <c r="C19">
        <v>0</v>
      </c>
      <c r="D19">
        <v>0</v>
      </c>
      <c r="E19">
        <v>0</v>
      </c>
    </row>
    <row r="20" spans="1:5" x14ac:dyDescent="0.25">
      <c r="A20" t="s">
        <v>19</v>
      </c>
      <c r="B20">
        <v>0</v>
      </c>
      <c r="C20">
        <v>0</v>
      </c>
      <c r="D20">
        <v>0</v>
      </c>
      <c r="E20">
        <v>0</v>
      </c>
    </row>
    <row r="21" spans="1:1" x14ac:dyDescent="0.25">
      <c r="A21" t="s">
        <v>20</v>
      </c>
    </row>
    <row r="22" spans="1:26" x14ac:dyDescent="0.25">
      <c r="A22" t="s">
        <v>21</v>
      </c>
      <c r="B22">
        <f>B16-B17+B18-B19+B20+B21</f>
      </c>
      <c r="C22">
        <f>C16-C17+C18-C19+C20+C21</f>
      </c>
      <c r="D22">
        <f>D16-D17+D18-D19+D20+D21</f>
      </c>
      <c r="E22">
        <f>E16-E17+E18-E19+E20+E21</f>
      </c>
      <c r="F22">
        <f>F16-F17+F18-F19+F20+F21</f>
      </c>
      <c r="G22">
        <f>G16-G17+G18-G19+G20+G21</f>
      </c>
      <c r="H22">
        <f>H16-H17+H18-H19+H20+H21</f>
      </c>
      <c r="I22">
        <f>I16-I17+I18-I19+I20+I21</f>
      </c>
      <c r="J22">
        <f>J16-J17+J18-J19+J20+J21</f>
      </c>
      <c r="K22">
        <f>K16-K17+K18-K19+K20+K21</f>
      </c>
      <c r="L22">
        <f>L16-L17+L18-L19+L20+L21</f>
      </c>
      <c r="M22">
        <f>M16-M17+M18-M19+M20+M21</f>
      </c>
      <c r="N22">
        <f>N16-N17+N18-N19+N20+N21</f>
      </c>
      <c r="O22">
        <f>O16-O17+O18-O19+O20+O21</f>
      </c>
      <c r="P22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4" spans="1:5" x14ac:dyDescent="0.25">
      <c r="A24" t="s">
        <v>22</v>
      </c>
      <c r="B24">
        <v>5335</v>
      </c>
      <c r="C24">
        <v>6142</v>
      </c>
      <c r="D24">
        <v>6229</v>
      </c>
      <c r="E24">
        <v>6063</v>
      </c>
    </row>
    <row r="25" spans="1:5" x14ac:dyDescent="0.25">
      <c r="A25" t="s">
        <v>23</v>
      </c>
      <c r="B25">
        <v>381</v>
      </c>
      <c r="C25">
        <v>1016</v>
      </c>
      <c r="D25">
        <v>1040</v>
      </c>
      <c r="E25">
        <v>1314</v>
      </c>
    </row>
    <row r="26" spans="1:5" x14ac:dyDescent="0.25">
      <c r="A26" t="s">
        <v>24</v>
      </c>
      <c r="B26">
        <v>5995</v>
      </c>
      <c r="C26">
        <v>46404</v>
      </c>
      <c r="D26">
        <v>38679</v>
      </c>
      <c r="E26">
        <v>13296</v>
      </c>
    </row>
    <row r="27" spans="1:26" x14ac:dyDescent="0.25">
      <c r="A27" t="s">
        <v>25</v>
      </c>
      <c r="B27">
        <f>B22+B24+B25+B26</f>
      </c>
      <c r="C27">
        <f>C22+C24+C25+C26</f>
      </c>
      <c r="D27">
        <f>D22+D24+D25+D26</f>
      </c>
      <c r="E27">
        <f>E22+E24+E25+E26</f>
      </c>
      <c r="F27">
        <f>F22+F24+F25+F26</f>
      </c>
      <c r="G27">
        <f>G22+G24+G25+G26</f>
      </c>
      <c r="H27">
        <f>H22+H24+H25+H26</f>
      </c>
      <c r="I27">
        <f>I22+I24+I25+I26</f>
      </c>
      <c r="J27">
        <f>J22+J24+J25+J26</f>
      </c>
      <c r="K27">
        <f>K22+K24+K25+K26</f>
      </c>
      <c r="L27">
        <f>L22+L24+L25+L26</f>
      </c>
      <c r="M27">
        <f>M22+M24+M25+M26</f>
      </c>
      <c r="N27">
        <f>N22+N24+N25+N26</f>
      </c>
      <c r="O27">
        <f>O22+O24+O25+O26</f>
      </c>
      <c r="P27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5" x14ac:dyDescent="0.25">
      <c r="A28" t="s">
        <v>26</v>
      </c>
      <c r="B28">
        <v>8453</v>
      </c>
      <c r="C28">
        <v>10120</v>
      </c>
      <c r="D28">
        <v>8484</v>
      </c>
      <c r="E28">
        <v>5890</v>
      </c>
    </row>
    <row r="29" spans="1:26" x14ac:dyDescent="0.25">
      <c r="A29" t="s">
        <v>27</v>
      </c>
      <c r="B29">
        <f>B27-B28</f>
      </c>
      <c r="C29">
        <f>C27-C28</f>
      </c>
      <c r="D29">
        <f>D27-D28</f>
      </c>
      <c r="E29">
        <f>E27-E28</f>
      </c>
      <c r="F29">
        <f>F27-F28</f>
      </c>
      <c r="G29">
        <f>G27-G28</f>
      </c>
      <c r="H29">
        <f>H27-H28</f>
      </c>
      <c r="I29">
        <f>I27-I28</f>
      </c>
      <c r="J29">
        <f>J27-J28</f>
      </c>
      <c r="K29">
        <f>K27-K28</f>
      </c>
      <c r="L29">
        <f>L27-L28</f>
      </c>
      <c r="M29">
        <f>M27-M28</f>
      </c>
      <c r="N29">
        <f>N27-N28</f>
      </c>
      <c r="O29">
        <f>O27-O28</f>
      </c>
      <c r="P29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1" spans="1:26" x14ac:dyDescent="0.25">
      <c r="A31" t="s">
        <v>28</v>
      </c>
      <c r="C31">
        <f>IF(AND(COUNT(B2,C2)=2, C2&lt;&gt;0, B2&lt;&gt;0), C2/B2-1, " ")</f>
      </c>
      <c r="D31">
        <f>IF(AND(COUNT(C2,D2)=2, D2&lt;&gt;0, C2&lt;&gt;0), D2/C2-1, " ")</f>
      </c>
      <c r="E31">
        <f>IF(AND(COUNT(D2,E2)=2, E2&lt;&gt;0, D2&lt;&gt;0), E2/D2-1, " ")</f>
      </c>
      <c r="F31">
        <f>IF(AND(COUNT(E2,F2)=2, F2&lt;&gt;0, E2&lt;&gt;0), F2/E2-1, " ")</f>
      </c>
      <c r="G31">
        <f>IF(AND(COUNT(F2,G2)=2, G2&lt;&gt;0, F2&lt;&gt;0), G2/F2-1, " ")</f>
      </c>
      <c r="H31">
        <f>IF(AND(COUNT(G2,H2)=2, H2&lt;&gt;0, G2&lt;&gt;0), H2/G2-1, " ")</f>
      </c>
      <c r="I31">
        <f>IF(AND(COUNT(H2,I2)=2, I2&lt;&gt;0, H2&lt;&gt;0), I2/H2-1, " ")</f>
      </c>
      <c r="J31">
        <f>IF(AND(COUNT(I2,J2)=2, J2&lt;&gt;0, I2&lt;&gt;0), J2/I2-1, " ")</f>
      </c>
      <c r="K31">
        <f>IF(AND(COUNT(J2,K2)=2, K2&lt;&gt;0, J2&lt;&gt;0), K2/J2-1, " ")</f>
      </c>
      <c r="L31">
        <f>IF(AND(COUNT(K2,L2)=2, L2&lt;&gt;0, K2&lt;&gt;0), L2/K2-1, " ")</f>
      </c>
      <c r="M31">
        <f>IF(AND(COUNT(L2,M2)=2, M2&lt;&gt;0, L2&lt;&gt;0), M2/L2-1, " ")</f>
      </c>
      <c r="N31">
        <f>IF(AND(COUNT(M2,N2)=2, N2&lt;&gt;0, M2&lt;&gt;0), N2/M2-1, " ")</f>
      </c>
      <c r="O31">
        <f>IF(AND(COUNT(N2,O2)=2, O2&lt;&gt;0, N2&lt;&gt;0), O2/N2-1, " ")</f>
      </c>
      <c r="P31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t="s">
        <v>29</v>
      </c>
      <c r="B32">
        <f>IF(AND(COUNT(B2,B4)=2, B2&lt;&gt;0), B4/B2, " ")</f>
      </c>
      <c r="C32">
        <f>IF(AND(COUNT(C2,C4)=2, C2&lt;&gt;0), C4/C2, " ")</f>
      </c>
      <c r="D32">
        <f>IF(AND(COUNT(D2,D4)=2, D2&lt;&gt;0), D4/D2, " ")</f>
      </c>
      <c r="E32">
        <f>IF(AND(COUNT(E2,E4)=2, E2&lt;&gt;0), E4/E2, " ")</f>
      </c>
      <c r="F32">
        <f>IF(AND(COUNT(F2,F4)=2, F2&lt;&gt;0), F4/F2, " ")</f>
      </c>
      <c r="G32">
        <f>IF(AND(COUNT(G2,G4)=2, G2&lt;&gt;0), G4/G2, " ")</f>
      </c>
      <c r="H32">
        <f>IF(AND(COUNT(H2,H4)=2, H2&lt;&gt;0), H4/H2, " ")</f>
      </c>
      <c r="I32">
        <f>IF(AND(COUNT(I2,I4)=2, I2&lt;&gt;0), I4/I2, " ")</f>
      </c>
      <c r="J32">
        <f>IF(AND(COUNT(J2,J4)=2, J2&lt;&gt;0), J4/J2, " ")</f>
      </c>
      <c r="K32">
        <f>IF(AND(COUNT(K2,K4)=2, K2&lt;&gt;0), K4/K2, " ")</f>
      </c>
      <c r="L32">
        <f>IF(AND(COUNT(L2,L4)=2, L2&lt;&gt;0), L4/L2, " ")</f>
      </c>
      <c r="M32">
        <f>IF(AND(COUNT(M2,M4)=2, M2&lt;&gt;0), M4/M2, " ")</f>
      </c>
      <c r="N32">
        <f>IF(AND(COUNT(N2,N4)=2, N2&lt;&gt;0), N4/N2, " ")</f>
      </c>
      <c r="O32">
        <f>IF(AND(COUNT(O2,O4)=2, O2&lt;&gt;0), O4/O2, " ")</f>
      </c>
      <c r="P32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t="s">
        <v>30</v>
      </c>
      <c r="B33">
        <f>IF(AND(COUNT(B2,B9)=2, B2&lt;&gt;0), B9/B2, " ")</f>
      </c>
      <c r="C33">
        <f>IF(AND(COUNT(C2,C9)=2, C2&lt;&gt;0), C9/C2, " ")</f>
      </c>
      <c r="D33">
        <f>IF(AND(COUNT(D2,D9)=2, D2&lt;&gt;0), D9/D2, " ")</f>
      </c>
      <c r="E33">
        <f>IF(AND(COUNT(E2,E9)=2, E2&lt;&gt;0), E9/E2, " ")</f>
      </c>
      <c r="F33">
        <f>IF(AND(COUNT(F2,F9)=2, F2&lt;&gt;0), F9/F2, " ")</f>
      </c>
      <c r="G33">
        <f>IF(AND(COUNT(G2,G9)=2, G2&lt;&gt;0), G9/G2, " ")</f>
      </c>
      <c r="H33">
        <f>IF(AND(COUNT(H2,H9)=2, H2&lt;&gt;0), H9/H2, " ")</f>
      </c>
      <c r="I33">
        <f>IF(AND(COUNT(I2,I9)=2, I2&lt;&gt;0), I9/I2, " ")</f>
      </c>
      <c r="J33">
        <f>IF(AND(COUNT(J2,J9)=2, J2&lt;&gt;0), J9/J2, " ")</f>
      </c>
      <c r="K33">
        <f>IF(AND(COUNT(K2,K9)=2, K2&lt;&gt;0), K9/K2, " ")</f>
      </c>
      <c r="L33">
        <f>IF(AND(COUNT(L2,L9)=2, L2&lt;&gt;0), L9/L2, " ")</f>
      </c>
      <c r="M33">
        <f>IF(AND(COUNT(M2,M9)=2, M2&lt;&gt;0), M9/M2, " ")</f>
      </c>
      <c r="N33">
        <f>IF(AND(COUNT(N2,N9)=2, N2&lt;&gt;0), N9/N2, " ")</f>
      </c>
      <c r="O33">
        <f>IF(AND(COUNT(O2,O9)=2, O2&lt;&gt;0), O9/O2, " ")</f>
      </c>
      <c r="P33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t="s">
        <v>31</v>
      </c>
      <c r="B34">
        <f>IF(AND(COUNT(B15,B15)=2, B15&lt;&gt;0), B16/B15, " ")</f>
      </c>
      <c r="C34">
        <f>IF(AND(COUNT(C15,C15)=2, C15&lt;&gt;0), C16/C15, " ")</f>
      </c>
      <c r="D34">
        <f>IF(AND(COUNT(D15,D15)=2, D15&lt;&gt;0), D16/D15, " ")</f>
      </c>
      <c r="E34">
        <f>IF(AND(COUNT(E15,E15)=2, E15&lt;&gt;0), E16/E15, " ")</f>
      </c>
      <c r="F34">
        <f>IF(AND(COUNT(F15,F15)=2, F15&lt;&gt;0), F16/F15, " ")</f>
      </c>
      <c r="G34">
        <f>IF(AND(COUNT(G15,G15)=2, G15&lt;&gt;0), G16/G15, " ")</f>
      </c>
      <c r="H34">
        <f>IF(AND(COUNT(H15,H15)=2, H15&lt;&gt;0), H16/H15, " ")</f>
      </c>
      <c r="I34">
        <f>IF(AND(COUNT(I15,I15)=2, I15&lt;&gt;0), I16/I15, " ")</f>
      </c>
      <c r="J34">
        <f>IF(AND(COUNT(J15,J15)=2, J15&lt;&gt;0), J16/J15, " ")</f>
      </c>
      <c r="K34">
        <f>IF(AND(COUNT(K15,K15)=2, K15&lt;&gt;0), K16/K15, " ")</f>
      </c>
      <c r="L34">
        <f>IF(AND(COUNT(L15,L15)=2, L15&lt;&gt;0), L16/L15, " ")</f>
      </c>
      <c r="M34">
        <f>IF(AND(COUNT(M15,M15)=2, M15&lt;&gt;0), M16/M15, " ")</f>
      </c>
      <c r="N34">
        <f>IF(AND(COUNT(N15,N15)=2, N15&lt;&gt;0), N16/N15, " ")</f>
      </c>
      <c r="O34">
        <f>IF(AND(COUNT(O15,O15)=2, O15&lt;&gt;0), O16/O15, " ")</f>
      </c>
      <c r="P3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t="s">
        <v>32</v>
      </c>
      <c r="B35">
        <f>IF(AND(COUNT(B22,B2)=2, B2&lt;&gt;0), B22/B2, " ")</f>
      </c>
      <c r="C35">
        <f>IF(AND(COUNT(C22,C2)=2, C2&lt;&gt;0), C22/C2, " ")</f>
      </c>
      <c r="D35">
        <f>IF(AND(COUNT(D22,D2)=2, D2&lt;&gt;0), D22/D2, " ")</f>
      </c>
      <c r="E35">
        <f>IF(AND(COUNT(E22,E2)=2, E2&lt;&gt;0), E22/E2, " ")</f>
      </c>
      <c r="F35">
        <f>IF(AND(COUNT(F22,F2)=2, F2&lt;&gt;0), F22/F2, " ")</f>
      </c>
      <c r="G35">
        <f>IF(AND(COUNT(G22,G2)=2, G2&lt;&gt;0), G22/G2, " ")</f>
      </c>
      <c r="H35">
        <f>IF(AND(COUNT(H22,H2)=2, H2&lt;&gt;0), H22/H2, " ")</f>
      </c>
      <c r="I35">
        <f>IF(AND(COUNT(I22,I2)=2, I2&lt;&gt;0), I22/I2, " ")</f>
      </c>
      <c r="J35">
        <f>IF(AND(COUNT(J22,J2)=2, J2&lt;&gt;0), J22/J2, " ")</f>
      </c>
      <c r="K35">
        <f>IF(AND(COUNT(K22,K2)=2, K2&lt;&gt;0), K22/K2, " ")</f>
      </c>
      <c r="L35">
        <f>IF(AND(COUNT(L22,L2)=2, L2&lt;&gt;0), L22/L2, " ")</f>
      </c>
      <c r="M35">
        <f>IF(AND(COUNT(M22,M2)=2, M2&lt;&gt;0), M22/M2, " ")</f>
      </c>
      <c r="N35">
        <f>IF(AND(COUNT(N22,N2)=2, N2&lt;&gt;0), N22/N2, " ")</f>
      </c>
      <c r="O35">
        <f>IF(AND(COUNT(O22,O2)=2, O2&lt;&gt;0), O22/O2, " ")</f>
      </c>
      <c r="P35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t="s">
        <v>33</v>
      </c>
      <c r="C36">
        <f>IF(AND(COUNT(B29,C29)=2, C29&lt;&gt;0, B2&lt;&gt;0), C27/B29-1, " ")</f>
      </c>
      <c r="D36">
        <f>IF(AND(COUNT(C29,D29)=2, D29&lt;&gt;0, C2&lt;&gt;0), D27/C29-1, " ")</f>
      </c>
      <c r="E36">
        <f>IF(AND(COUNT(D29,E29)=2, E29&lt;&gt;0, D2&lt;&gt;0), E27/D29-1, " ")</f>
      </c>
      <c r="F36">
        <f>IF(AND(COUNT(E29,F29)=2, F29&lt;&gt;0, E2&lt;&gt;0), F27/E29-1, " ")</f>
      </c>
      <c r="G36">
        <f>IF(AND(COUNT(F29,G29)=2, G29&lt;&gt;0, F2&lt;&gt;0), G27/F29-1, " ")</f>
      </c>
      <c r="H36">
        <f>IF(AND(COUNT(G29,H29)=2, H29&lt;&gt;0, G2&lt;&gt;0), H27/G29-1, " ")</f>
      </c>
      <c r="I36">
        <f>IF(AND(COUNT(H29,I29)=2, I29&lt;&gt;0, H2&lt;&gt;0), I27/H29-1, " ")</f>
      </c>
      <c r="J36">
        <f>IF(AND(COUNT(I29,J29)=2, J29&lt;&gt;0, I2&lt;&gt;0), J27/I29-1, " ")</f>
      </c>
      <c r="K36">
        <f>IF(AND(COUNT(J29,K29)=2, K29&lt;&gt;0, J2&lt;&gt;0), K27/J29-1, " ")</f>
      </c>
      <c r="L36">
        <f>IF(AND(COUNT(K29,L29)=2, L29&lt;&gt;0, K2&lt;&gt;0), L27/K29-1, " ")</f>
      </c>
      <c r="M36">
        <f>IF(AND(COUNT(L29,M29)=2, M29&lt;&gt;0, L2&lt;&gt;0), M27/L29-1, " ")</f>
      </c>
      <c r="N36">
        <f>IF(AND(COUNT(M29,N29)=2, N29&lt;&gt;0, M2&lt;&gt;0), N27/M29-1, " ")</f>
      </c>
      <c r="O36">
        <f>IF(AND(COUNT(N29,O29)=2, O29&lt;&gt;0, N2&lt;&gt;0), O27/N29-1, " ")</f>
      </c>
      <c r="P36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8" spans="1:5" x14ac:dyDescent="0.25">
      <c r="A38" t="s">
        <v>34</v>
      </c>
      <c r="B38">
        <v>0</v>
      </c>
      <c r="C38">
        <v>85307</v>
      </c>
      <c r="D38">
        <v>75297</v>
      </c>
      <c r="E38">
        <v>72114</v>
      </c>
    </row>
    <row r="39" spans="1:5" x14ac:dyDescent="0.25">
      <c r="A39" t="s">
        <v>35</v>
      </c>
      <c r="B39">
        <v>0</v>
      </c>
      <c r="C39">
        <v>4179179</v>
      </c>
      <c r="D39">
        <v>4133746</v>
      </c>
      <c r="E39">
        <v>4204519</v>
      </c>
    </row>
    <row r="40" spans="1:5" x14ac:dyDescent="0.25">
      <c r="A40" t="s">
        <v>36</v>
      </c>
      <c r="B40">
        <v>-473111</v>
      </c>
      <c r="C40">
        <v>3739005</v>
      </c>
      <c r="D40">
        <v>3726150</v>
      </c>
      <c r="E40">
        <v>3875892</v>
      </c>
    </row>
    <row r="41" spans="1:5" x14ac:dyDescent="0.25">
      <c r="A41" t="s">
        <v>37</v>
      </c>
      <c r="B41">
        <f>B39-B40</f>
      </c>
      <c r="C41">
        <f>C39-C40</f>
      </c>
      <c r="D41">
        <f>D39-D40</f>
      </c>
      <c r="E41">
        <f>E39-E40</f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0</v>
      </c>
    </row>
    <row r="3" spans="1:3" x14ac:dyDescent="0.25">
      <c r="A3" t="s">
        <v>38</v>
      </c>
      <c r="B3">
        <f>MATCH("Free Cash Flow to Firm", Financials!A:A, 0)</f>
      </c>
      <c r="C3" t="s">
        <v>39</v>
      </c>
    </row>
    <row r="4" spans="1:2" x14ac:dyDescent="0.25">
      <c r="A4" t="s">
        <v>40</v>
      </c>
      <c r="B4" s="2">
        <f>DATE(YEAR(TODAY()), 12, 31)</f>
      </c>
    </row>
    <row r="5" spans="1:1" x14ac:dyDescent="0.25">
      <c r="A5" s="3"/>
    </row>
    <row r="6" spans="1:3" x14ac:dyDescent="0.25">
      <c r="A6" s="3" t="s">
        <v>41</v>
      </c>
      <c r="B6" s="4"/>
      <c r="C6" t="s">
        <v>42</v>
      </c>
    </row>
    <row r="7" spans="1:3" x14ac:dyDescent="0.25">
      <c r="A7" s="3" t="s">
        <v>43</v>
      </c>
      <c r="B7" s="4"/>
      <c r="C7" t="s">
        <v>44</v>
      </c>
    </row>
    <row r="8" spans="1:4" x14ac:dyDescent="0.25">
      <c r="A8" s="3" t="s">
        <v>45</v>
      </c>
      <c r="C8" t="s">
        <v>46</v>
      </c>
      <c r="D8" t="s">
        <v>47</v>
      </c>
    </row>
    <row r="9" spans="1:4" x14ac:dyDescent="0.25">
      <c r="A9" s="3" t="s">
        <v>48</v>
      </c>
      <c r="B9" s="4"/>
      <c r="C9" t="s">
        <v>49</v>
      </c>
      <c r="D9" t="s">
        <v>50</v>
      </c>
    </row>
    <row r="10" spans="1:4" x14ac:dyDescent="0.25">
      <c r="A10" s="3" t="s">
        <v>51</v>
      </c>
      <c r="B10" s="4"/>
      <c r="C10" t="s">
        <v>52</v>
      </c>
      <c r="D10" t="s">
        <v>53</v>
      </c>
    </row>
    <row r="11" spans="1:2" x14ac:dyDescent="0.25">
      <c r="A11" s="3" t="s">
        <v>54</v>
      </c>
      <c r="B11" s="4">
        <f>B10+B9*B8</f>
      </c>
    </row>
    <row r="12" spans="1:3" x14ac:dyDescent="0.25">
      <c r="A12" s="3" t="s">
        <v>55</v>
      </c>
      <c r="B12" s="4"/>
      <c r="C12" t="s">
        <v>56</v>
      </c>
    </row>
    <row r="13" spans="1:4" x14ac:dyDescent="0.25">
      <c r="A13" s="3" t="s">
        <v>57</v>
      </c>
      <c r="B13" s="5"/>
      <c r="C13" t="s">
        <v>58</v>
      </c>
      <c r="D13" t="s">
        <v>47</v>
      </c>
    </row>
    <row r="14" spans="1:3" x14ac:dyDescent="0.25">
      <c r="A14" s="3" t="s">
        <v>59</v>
      </c>
      <c r="B14" s="5"/>
      <c r="C14" t="s">
        <v>60</v>
      </c>
    </row>
    <row r="15" spans="1:2" x14ac:dyDescent="0.25">
      <c r="A15" t="s">
        <v>61</v>
      </c>
      <c r="B15" s="4">
        <f>IF(B13+B14&lt;&gt;0,((B13/(B13+B14))*B11)+((B14/(B13+B14))*B12*B7), 0)</f>
      </c>
    </row>
    <row r="16" spans="1:2" x14ac:dyDescent="0.25">
      <c r="A16" t="s">
        <v>62</v>
      </c>
      <c r="B16" s="4">
        <f>IF(B4-NOW()&gt;=0, MIN(YEARFRAC(NOW(),B4),1), 0)</f>
      </c>
    </row>
    <row r="17" spans="1:2" x14ac:dyDescent="0.25">
      <c r="A17" t="s">
        <v>63</v>
      </c>
      <c r="B17" s="5">
        <f>INDIRECT(CONCATENATE("Financials!", ADDRESS(B3, LOOKUP(2,1/(Financials!1:1=YEAR(TODAY())),COLUMN(Financials!1:1)))))*B16*1</f>
      </c>
    </row>
    <row r="18" spans="1:2" x14ac:dyDescent="0.25">
      <c r="A18" t="s">
        <v>64</v>
      </c>
      <c r="B18" s="5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65</v>
      </c>
      <c r="B19" s="5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NOW())*1,  " ")</f>
      </c>
    </row>
    <row r="20" spans="1:3" x14ac:dyDescent="0.25">
      <c r="A20" s="6" t="s">
        <v>66</v>
      </c>
      <c r="B20" s="5"/>
      <c r="C20" t="s">
        <v>67</v>
      </c>
    </row>
    <row r="21" spans="1:4" x14ac:dyDescent="0.25">
      <c r="A21" s="3" t="s">
        <v>68</v>
      </c>
      <c r="B21" s="5"/>
      <c r="C21" t="s">
        <v>58</v>
      </c>
      <c r="D21" t="s">
        <v>47</v>
      </c>
    </row>
    <row r="22" spans="1:2" x14ac:dyDescent="0.25">
      <c r="A22" t="s">
        <v>69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2023-12-24T00:48:22Z</cp:lastPrinted>
  <dcterms:created xsi:type="dcterms:W3CDTF">2023-12-24T00:48:22Z</dcterms:created>
  <dcterms:modified xsi:type="dcterms:W3CDTF">2023-12-24T00:48:22Z</dcterms:modified>
</cp:coreProperties>
</file>