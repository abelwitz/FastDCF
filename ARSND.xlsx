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<sst xmlns="http://schemas.openxmlformats.org/spreadsheetml/2006/main" count="72" uniqueCount="68">
  <si>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</si>
  <si>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</si>
  <si>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</si>
  <si>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</si>
  <si>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</si>
  <si>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</si>
  <si>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</si>
  <si>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</si>
  <si>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</si>
  <si>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</si>
  <si>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</si>
  <si>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</si>
  <si>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</si>
  <si>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</si>
  <si>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</si>
  <si>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</si>
  <si>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</si>
  <si>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</si>
  <si>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</si>
  <si>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</si>
  <si>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</si>
  <si>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</si>
  <si>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</si>
  <si>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</si>
  <si>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</si>
  <si>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</si>
  <si>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</si>
  <si>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</si>
  <si>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</si>
  <si>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</si>
  <si>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</si>
  <si>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</si>
  <si>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</si>
  <si>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</si>
  <si>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</si>
  <si>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</si>
  <si>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</si>
  <si>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</si>
  <si>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</si>
  <si>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</si>
  <si>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</si>
  <si>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</si>
  <si>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</si>
  <si>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</si>
  <si>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</si>
  <si>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https://finance.yahoo.com/quote/ARSND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</si>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</sst>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S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SND" TargetMode="External"/><Relationship Id="rId5" Type="http://schemas.openxmlformats.org/officeDocument/2006/relationships/hyperlink" Target="https://finance.yahoo.com/quote/ARS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57460</v>
      </c>
      <c r="E2" s="3">
        <v>3450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45168</v>
      </c>
      <c r="E3" s="3">
        <v>148014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4575</v>
      </c>
      <c r="C6" s="3">
        <v>61094</v>
      </c>
      <c r="D6" s="3">
        <v>147448</v>
      </c>
      <c r="E6" s="3">
        <v>90223</v>
      </c>
      <c r="F6" s="3">
        <v>89687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-9150</v>
      </c>
      <c r="C7" s="3">
        <v>15000</v>
      </c>
      <c r="D7" s="3">
        <v>84940</v>
      </c>
      <c r="E7" s="3">
        <v>256692</v>
      </c>
      <c r="F7" s="3">
        <v>250583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27208</v>
      </c>
      <c r="I10" s="3">
        <v>-110973</v>
      </c>
      <c r="J10" s="3">
        <v>-141082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-9150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3666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22492</v>
      </c>
      <c r="D24" s="3">
        <v>-69913</v>
      </c>
      <c r="E24" s="3">
        <v>185651</v>
      </c>
      <c r="F24" s="3">
        <v>213114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15000</v>
      </c>
      <c r="C26" s="3">
        <v>0</v>
      </c>
      <c r="D26" s="3">
        <v>14300</v>
      </c>
      <c r="E26" s="3">
        <v>0</v>
      </c>
      <c r="F26" s="3">
        <v>80000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30300</v>
      </c>
      <c r="E36" s="3">
        <v>30300</v>
      </c>
      <c r="F36" s="3">
        <v>30300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47725</v>
      </c>
      <c r="C37" s="3">
        <v>2172</v>
      </c>
      <c r="D37" s="3">
        <v>350845</v>
      </c>
      <c r="E37" s="3">
        <v>437417</v>
      </c>
      <c r="F37" s="3">
        <v>96759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22855</v>
      </c>
      <c r="C38" s="3">
        <v>52946</v>
      </c>
      <c r="D38" s="3">
        <v>2479241</v>
      </c>
      <c r="E38" s="3">
        <v>2419461</v>
      </c>
      <c r="F38" s="3">
        <v>2366134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H37-H38</f>
      </c>
      <c r="E39" s="3">
        <f>I37-I38</f>
      </c>
      <c r="F39" s="3">
        <f>J37-J38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