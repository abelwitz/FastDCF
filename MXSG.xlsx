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<sst xmlns="http://schemas.openxmlformats.org/spreadsheetml/2006/main" count="72" uniqueCount="68">
  <si>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</si>
  <si>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</si>
  <si>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</si>
  <si>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</si>
  <si>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</si>
  <si>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</si>
  <si>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</si>
  <si>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</si>
  <si>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</si>
  <si>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</si>
  <si>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</si>
  <si>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</si>
  <si>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</si>
  <si>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</si>
  <si>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</si>
  <si>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</si>
  <si>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</si>
  <si>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</si>
  <si>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</si>
  <si>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</si>
  <si>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</si>
  <si>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</si>
  <si>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</si>
  <si>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</si>
  <si>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</si>
  <si>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</si>
  <si>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</si>
  <si>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</si>
  <si>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</si>
  <si>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</si>
  <si>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</si>
  <si>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</si>
  <si>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</si>
  <si>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</si>
  <si>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</si>
  <si>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</si>
  <si>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</si>
  <si>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</si>
  <si>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</si>
  <si>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</si>
  <si>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</si>
  <si>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</si>
  <si>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</si>
  <si>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</si>
  <si>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</si>
  <si>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https://finance.yahoo.com/quote/MXSG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</si>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</sst>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X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XSG" TargetMode="External"/><Relationship Id="rId5" Type="http://schemas.openxmlformats.org/officeDocument/2006/relationships/hyperlink" Target="https://finance.yahoo.com/quote/MX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21000</v>
      </c>
      <c r="C2" s="3">
        <v>320226</v>
      </c>
      <c r="D2" s="3">
        <v>192004</v>
      </c>
      <c r="E2" s="3">
        <v>2743</v>
      </c>
      <c r="F2" s="3">
        <v>0</v>
      </c>
      <c r="G2" s="3">
        <v>0</v>
      </c>
      <c r="H2" s="3">
        <v>279455</v>
      </c>
      <c r="I2" s="3">
        <v>0</v>
      </c>
      <c r="J2" s="3">
        <v>1123424</v>
      </c>
      <c r="K2" s="3">
        <v>1070510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1048469</v>
      </c>
      <c r="C6" s="3">
        <v>898768</v>
      </c>
      <c r="D6" s="3">
        <v>545377</v>
      </c>
      <c r="E6" s="3">
        <v>717894</v>
      </c>
      <c r="F6" s="3">
        <v>845605</v>
      </c>
      <c r="G6" s="3">
        <v>972309</v>
      </c>
      <c r="H6" s="3">
        <v>821898</v>
      </c>
      <c r="I6" s="3">
        <v>850038</v>
      </c>
      <c r="J6" s="3">
        <v>668874</v>
      </c>
      <c r="K6" s="3">
        <v>564099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776177</v>
      </c>
      <c r="C7" s="3">
        <v>1892425</v>
      </c>
      <c r="D7" s="3">
        <v>1878032</v>
      </c>
      <c r="E7" s="3">
        <v>661021</v>
      </c>
      <c r="F7" s="3">
        <v>2410657</v>
      </c>
      <c r="G7" s="3">
        <v>2134806</v>
      </c>
      <c r="H7" s="3">
        <v>1172025</v>
      </c>
      <c r="I7" s="3">
        <v>1195862</v>
      </c>
      <c r="J7" s="3">
        <v>1691192</v>
      </c>
      <c r="K7" s="3">
        <v>1118768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944497</v>
      </c>
      <c r="H10" s="3">
        <v>-171746</v>
      </c>
      <c r="I10" s="3">
        <v>-487300</v>
      </c>
      <c r="J10" s="3">
        <v>-634755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-1172396</v>
      </c>
      <c r="M10" s="3">
        <v>-972064</v>
      </c>
      <c r="N10" s="3">
        <v>-897827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-29133</v>
      </c>
      <c r="C11" s="3">
        <v>-32611</v>
      </c>
      <c r="D11" s="3">
        <v>-833729</v>
      </c>
      <c r="E11" s="3">
        <v>516181</v>
      </c>
      <c r="F11" s="3">
        <v>535697</v>
      </c>
      <c r="G11" s="3">
        <v>0</v>
      </c>
      <c r="H11" s="3">
        <v>634755</v>
      </c>
      <c r="I11" s="3">
        <v>1305849</v>
      </c>
      <c r="J11" s="3">
        <v>1447748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-58266</v>
      </c>
      <c r="C12" s="3">
        <v>2012745</v>
      </c>
      <c r="D12" s="3">
        <v>-2867677</v>
      </c>
      <c r="E12" s="3">
        <v>0</v>
      </c>
      <c r="F12" s="3">
        <v>157008</v>
      </c>
      <c r="G12" s="3">
        <v>-315546</v>
      </c>
      <c r="H12" s="3">
        <v>710600</v>
      </c>
      <c r="I12" s="3">
        <v>1305849</v>
      </c>
      <c r="J12" s="3">
        <v>324324</v>
      </c>
      <c r="K12" s="3">
        <v>-1070510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-1829858</v>
      </c>
      <c r="D17" s="3">
        <v>-2251183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-743537</v>
      </c>
      <c r="D18" s="3">
        <v>476870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95050</v>
      </c>
      <c r="C22" s="3">
        <v>302245</v>
      </c>
      <c r="D22" s="3">
        <v>356509</v>
      </c>
      <c r="E22" s="3">
        <v>330678</v>
      </c>
      <c r="F22" s="3">
        <v>265708</v>
      </c>
      <c r="G22" s="3">
        <v>255776</v>
      </c>
      <c r="H22" s="3">
        <v>255215</v>
      </c>
      <c r="I22" s="3">
        <v>168757</v>
      </c>
      <c r="J22" s="3">
        <v>86496</v>
      </c>
      <c r="K22" s="3">
        <v>70368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612433</v>
      </c>
      <c r="C23" s="3">
        <v>823504</v>
      </c>
      <c r="D23" s="3">
        <v>744283</v>
      </c>
      <c r="E23" s="3">
        <v>306408</v>
      </c>
      <c r="F23" s="3">
        <v>592722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97045</v>
      </c>
      <c r="C24" s="3">
        <v>-2070855</v>
      </c>
      <c r="D24" s="3">
        <v>3281470</v>
      </c>
      <c r="E24" s="3">
        <v>-225391</v>
      </c>
      <c r="F24" s="3">
        <v>2591375</v>
      </c>
      <c r="G24" s="3">
        <v>3654185</v>
      </c>
      <c r="H24" s="3">
        <v>2018163</v>
      </c>
      <c r="I24" s="3">
        <v>3049539</v>
      </c>
      <c r="J24" s="3">
        <v>3245634</v>
      </c>
      <c r="K24" s="3">
        <v>2510326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1055533</v>
      </c>
      <c r="C26" s="3">
        <v>-1142118</v>
      </c>
      <c r="D26" s="3">
        <v>-40775</v>
      </c>
      <c r="E26" s="3">
        <v>34</v>
      </c>
      <c r="F26" s="3">
        <v>1660</v>
      </c>
      <c r="G26" s="3">
        <v>105196</v>
      </c>
      <c r="H26" s="3">
        <v>101981</v>
      </c>
      <c r="I26" s="3">
        <v>44125</v>
      </c>
      <c r="J26" s="3">
        <v>49000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1212849</v>
      </c>
      <c r="F36" s="3">
        <v>527961</v>
      </c>
      <c r="G36" s="3">
        <v>505583</v>
      </c>
      <c r="H36" s="3">
        <v>0</v>
      </c>
      <c r="I36" s="3">
        <v>330888</v>
      </c>
      <c r="J36" s="3">
        <v>293392</v>
      </c>
      <c r="K36" s="3">
        <v>221457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1980797</v>
      </c>
      <c r="D37" s="3">
        <v>3371591</v>
      </c>
      <c r="E37" s="3">
        <v>1794482</v>
      </c>
      <c r="F37" s="3">
        <v>1364603</v>
      </c>
      <c r="G37" s="3">
        <v>1283509</v>
      </c>
      <c r="H37" s="3">
        <v>0</v>
      </c>
      <c r="I37" s="3">
        <v>1225008</v>
      </c>
      <c r="J37" s="3">
        <v>1131420</v>
      </c>
      <c r="K37" s="3">
        <v>1058578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1980797</v>
      </c>
      <c r="D38" s="3">
        <v>3371591</v>
      </c>
      <c r="E38" s="3">
        <v>1786164</v>
      </c>
      <c r="F38" s="3">
        <v>1025677</v>
      </c>
      <c r="G38" s="3">
        <v>610246</v>
      </c>
      <c r="H38" s="3">
        <v>0</v>
      </c>
      <c r="I38" s="3">
        <v>2779970</v>
      </c>
      <c r="J38" s="3">
        <v>2632722</v>
      </c>
      <c r="K38" s="3">
        <v>2802972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G37-G38</f>
      </c>
      <c r="F39" s="3">
        <f>H37-H38</f>
      </c>
      <c r="G39" s="3">
        <f>I37-I38</f>
      </c>
      <c r="H39" s="3">
        <f>J37-J38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