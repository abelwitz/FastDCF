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ate1904="1" defaultThemeVersion="164011" filterPrivacy="1"/>
  <sheets>
    <sheet sheetId="1" name="Financials" state="visible" r:id="rId4"/>
    <sheet sheetId="2" name="Present Value of a Share" state="visible" r:id="rId5"/>
  </sheets>
  <calcPr calcId="171027" fullCalcOnLoad="1"/>
</workbook>
</file>

<file path=xl/sharedStrings.xml><?xml version="1.0" encoding="utf-8"?>
<sst xmlns="http://schemas.openxmlformats.org/spreadsheetml/2006/main" count="74" uniqueCount="70">
  <si>
    <t>(in nominal terms)</t>
  </si>
  <si>
    <t>Non-Interest Revenue</t>
  </si>
  <si>
    <t>Cost of Revenue</t>
  </si>
  <si>
    <t>Gross Profit</t>
  </si>
  <si>
    <t>Research and Development</t>
  </si>
  <si>
    <t>Selling, General and Administrative</t>
  </si>
  <si>
    <t>Other Operating Expenses</t>
  </si>
  <si>
    <t>Operating Expenses</t>
  </si>
  <si>
    <t>Operating Income</t>
  </si>
  <si>
    <t>Interest Income</t>
  </si>
  <si>
    <t>Interest Expense</t>
  </si>
  <si>
    <t>Interest Income/Expense Net</t>
  </si>
  <si>
    <t>Other Income</t>
  </si>
  <si>
    <t>Total Other Income</t>
  </si>
  <si>
    <t>Provision for Credit Losses</t>
  </si>
  <si>
    <t>Pretax Income</t>
  </si>
  <si>
    <t>Taxes</t>
  </si>
  <si>
    <t>Discontinued operations</t>
  </si>
  <si>
    <t>Non-controlling interests</t>
  </si>
  <si>
    <t>Equity income in investee</t>
  </si>
  <si>
    <t>Extraordinary Gain</t>
  </si>
  <si>
    <t>Net Income</t>
  </si>
  <si>
    <t>Depreciation &amp; Amortization</t>
  </si>
  <si>
    <t>Stock Based Compensation</t>
  </si>
  <si>
    <t>Other Operating Activities</t>
  </si>
  <si>
    <t>Cash Flow from Operations</t>
  </si>
  <si>
    <t>Capital Expenditures</t>
  </si>
  <si>
    <t>Free Cash Flow to Firm</t>
  </si>
  <si>
    <t>Revenue Y/Y</t>
  </si>
  <si>
    <t>Gross Margin</t>
  </si>
  <si>
    <t>Operating Margin</t>
  </si>
  <si>
    <t>Tax Rate</t>
  </si>
  <si>
    <t>Net Margin</t>
  </si>
  <si>
    <t>Free Cash Flow Y/Y</t>
  </si>
  <si>
    <t>Property, Plant and Equipment Net</t>
  </si>
  <si>
    <t>Assets</t>
  </si>
  <si>
    <t>Liabilities</t>
  </si>
  <si>
    <t>Shareholder's equity</t>
  </si>
  <si>
    <t>Free Cash Flow to Firm Row</t>
  </si>
  <si>
    <t>The row where the Free Cash Flow to Firm is located in the "Financials" sheet</t>
  </si>
  <si>
    <t>Fiscal Year End</t>
  </si>
  <si>
    <t>Terminal Growth Rate</t>
  </si>
  <si>
    <t>The constant rate at which a company is expected to grow forever</t>
  </si>
  <si>
    <t>Effective Tax Rate</t>
  </si>
  <si>
    <t>We can aproximate it by taking the average of the Tax Rate from "Financials" sheet</t>
  </si>
  <si>
    <t>Beta</t>
  </si>
  <si>
    <t>We can obtain an aproximation there (the Beta will not be cash adjusted) :</t>
  </si>
  <si>
    <t>https://finance.yahoo.com/quote/undefined</t>
  </si>
  <si>
    <t>Equity Risk Premium</t>
  </si>
  <si>
    <t>We can get one there (Implied ERP) :</t>
  </si>
  <si>
    <t>https://pages.stern.nyu.edu/~adamodar/</t>
  </si>
  <si>
    <t>Risk Free Rate</t>
  </si>
  <si>
    <t>We can use the 10 Year U.S. Treasury Note Yield</t>
  </si>
  <si>
    <t>https://finance.yahoo.com/quote/%5ETNX</t>
  </si>
  <si>
    <t>Cost of Equity (CAPM)</t>
  </si>
  <si>
    <t>Cost of Debt</t>
  </si>
  <si>
    <t>We can aproximate it by taking last 10-K Interest Expense / Total Debt</t>
  </si>
  <si>
    <t>Market Cap</t>
  </si>
  <si>
    <t>We can get it there :</t>
  </si>
  <si>
    <t>Market  Value of Debt</t>
  </si>
  <si>
    <t>We can aproximate it by taking last filing's Total Debt</t>
  </si>
  <si>
    <t>Weighted Average Cost of Capital</t>
  </si>
  <si>
    <t>Fraction of the current year remaining</t>
  </si>
  <si>
    <t>Adjusted first cash flow</t>
  </si>
  <si>
    <t>Terminal Value</t>
  </si>
  <si>
    <t>Enterprise Value (in Present Value)</t>
  </si>
  <si>
    <t>Cash and Cash Equivalents + Marketable Securities - Total Debt</t>
  </si>
  <si>
    <t>We can find these values in the last filing</t>
  </si>
  <si>
    <t>Shares Outstanding</t>
  </si>
  <si>
    <t>Present Value of a Share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</si>
</sst>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/mm"/>
    <numFmt numFmtId="165" formatCode="#,##0;-#,##0"/>
  </numFmts>
  <fonts count="3" x14ac:knownFonts="1">
    <font>
      <color theme="1"/>
      <family val="2"/>
      <scheme val="minor"/>
      <sz val="11"/>
      <name val="Calibri"/>
    </font>
    <font>
      <i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/>
    <xf numFmtId="164" fontId="0" fillId="0" borderId="0" xfId="0" applyNumberFormat="1"/>
    <xf numFmtId="0" fontId="2" fillId="0" borderId="0" xfId="0" applyFont="1"/>
    <xf numFmtId="10" fontId="0" fillId="0" borderId="0" xfId="0" applyNumberFormat="1"/>
    <xf numFmtId="165" fontId="0" fillId="0" borderId="0" xfId="0" applyNumberFormat="1"/>
    <xf numFmtId="0" fontId="2" fillId="0" borderId="0" xfId="0" applyFont="1" applyAlignment="1">
      <alignment wrapText="1"/>
    </xf>
    <xf numFmtId="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hyperlink" Target="https://finance.yahoo.com/quote/undefined" TargetMode="External"/><Relationship Id="rId2" Type="http://schemas.openxmlformats.org/officeDocument/2006/relationships/hyperlink" Target="https://pages.stern.nyu.edu/~adamodar/" TargetMode="External"/><Relationship Id="rId3" Type="http://schemas.openxmlformats.org/officeDocument/2006/relationships/hyperlink" Target="https://finance.yahoo.com/quote/%5ETNX" TargetMode="External"/><Relationship Id="rId4" Type="http://schemas.openxmlformats.org/officeDocument/2006/relationships/hyperlink" Target="https://finance.yahoo.com/quote/undefined" TargetMode="External"/><Relationship Id="rId5" Type="http://schemas.openxmlformats.org/officeDocument/2006/relationships/hyperlink" Target="https://finance.yahoo.com/quote/undefined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Z41"/>
  <sheetFormatPr defaultRowHeight="15" outlineLevelRow="0" outlineLevelCol="0" x14ac:dyDescent="55"/>
  <cols>
    <col min="1" max="1" width="33" customWidth="1"/>
  </cols>
  <sheetData>
    <row r="1" spans="1:1" x14ac:dyDescent="0.25">
      <c r="A1" t="s">
        <v>0</v>
      </c>
    </row>
    <row r="2" spans="1:5" x14ac:dyDescent="0.25">
      <c r="A2" t="s">
        <v>1</v>
      </c>
      <c r="B2">
        <v>657</v>
      </c>
      <c r="C2">
        <v>7756</v>
      </c>
      <c r="D2">
        <v>10650</v>
      </c>
      <c r="E2">
        <v>84683</v>
      </c>
    </row>
    <row r="3" spans="1:5" x14ac:dyDescent="0.25">
      <c r="A3" t="s">
        <v>2</v>
      </c>
      <c r="B3">
        <v>0</v>
      </c>
      <c r="C3">
        <v>0</v>
      </c>
      <c r="D3">
        <v>0</v>
      </c>
      <c r="E3">
        <v>0</v>
      </c>
    </row>
    <row r="4" spans="1:26" x14ac:dyDescent="0.25">
      <c r="A4" t="s">
        <v>3</v>
      </c>
      <c r="B4">
        <f>B2-B3</f>
      </c>
      <c r="C4">
        <f>C2-C3</f>
      </c>
      <c r="D4">
        <f>D2-D3</f>
      </c>
      <c r="E4">
        <f>E2-E3</f>
      </c>
      <c r="F4">
        <f>F2-F3</f>
      </c>
      <c r="G4">
        <f>G2-G3</f>
      </c>
      <c r="H4">
        <f>H2-H3</f>
      </c>
      <c r="I4">
        <f>I2-I3</f>
      </c>
      <c r="J4">
        <f>J2-J3</f>
      </c>
      <c r="K4">
        <f>K2-K3</f>
      </c>
      <c r="L4">
        <f>L2-L3</f>
      </c>
      <c r="M4">
        <f>M2-M3</f>
      </c>
      <c r="N4">
        <f>N2-N3</f>
      </c>
      <c r="O4">
        <f>O2-O3</f>
      </c>
      <c r="P4">
        <f>P2-P3</f>
      </c>
      <c r="Q4">
        <f>Q2-Q3</f>
      </c>
      <c r="R4">
        <f>R2-R3</f>
      </c>
      <c r="S4">
        <f>S2-S3</f>
      </c>
      <c r="T4">
        <f>T2-T3</f>
      </c>
      <c r="U4">
        <f>U2-U3</f>
      </c>
      <c r="V4">
        <f>V2-V3</f>
      </c>
      <c r="W4">
        <f>W2-W3</f>
      </c>
      <c r="X4">
        <f>X2-X3</f>
      </c>
      <c r="Y4">
        <f>Y2-Y3</f>
      </c>
      <c r="Z4">
        <f>Z2-Z3</f>
      </c>
    </row>
    <row r="5" spans="1:5" x14ac:dyDescent="0.25">
      <c r="A5" t="s">
        <v>4</v>
      </c>
      <c r="B5">
        <v>63595</v>
      </c>
      <c r="C5">
        <v>182243</v>
      </c>
      <c r="D5">
        <v>138693</v>
      </c>
      <c r="E5">
        <v>159188</v>
      </c>
    </row>
    <row r="6" spans="1:5" x14ac:dyDescent="0.25">
      <c r="A6" t="s">
        <v>5</v>
      </c>
      <c r="B6">
        <v>39151</v>
      </c>
      <c r="C6">
        <v>46881</v>
      </c>
      <c r="D6">
        <v>89057</v>
      </c>
      <c r="E6">
        <v>117307</v>
      </c>
    </row>
    <row r="7" spans="1:5" x14ac:dyDescent="0.25">
      <c r="A7" t="s">
        <v>6</v>
      </c>
      <c r="B7">
        <v>0</v>
      </c>
      <c r="C7">
        <v>-9431</v>
      </c>
      <c r="D7">
        <v>-2324</v>
      </c>
      <c r="E7">
        <v>-4754</v>
      </c>
    </row>
    <row r="8" spans="1:26" x14ac:dyDescent="0.25">
      <c r="A8" t="s">
        <v>7</v>
      </c>
      <c r="B8">
        <f>B5+B6+B7</f>
      </c>
      <c r="C8">
        <f>C5+C6+C7</f>
      </c>
      <c r="D8">
        <f>D5+D6+D7</f>
      </c>
      <c r="E8">
        <f>E5+E6+E7</f>
      </c>
      <c r="F8">
        <f>F5+F6+F7</f>
      </c>
      <c r="G8">
        <f>G5+G6+G7</f>
      </c>
      <c r="H8">
        <f>H5+H6+H7</f>
      </c>
      <c r="I8">
        <f>I5+I6+I7</f>
      </c>
      <c r="J8">
        <f>J5+J6+J7</f>
      </c>
      <c r="K8">
        <f>K5+K6+K7</f>
      </c>
      <c r="L8">
        <f>L5+L6+L7</f>
      </c>
      <c r="M8">
        <f>M5+M6+M7</f>
      </c>
      <c r="N8">
        <f>N5+N6+N7</f>
      </c>
      <c r="O8">
        <f>O5+O6+O7</f>
      </c>
      <c r="P8">
        <f>P5+P6+P7</f>
      </c>
      <c r="Q8">
        <f>Q5+Q6+Q7</f>
      </c>
      <c r="R8">
        <f>R5+R6+R7</f>
      </c>
      <c r="S8">
        <f>S5+S6+S7</f>
      </c>
      <c r="T8">
        <f>T5+T6+T7</f>
      </c>
      <c r="U8">
        <f>U5+U6+U7</f>
      </c>
      <c r="V8">
        <f>V5+V6+V7</f>
      </c>
      <c r="W8">
        <f>W5+W6+W7</f>
      </c>
      <c r="X8">
        <f>X5+X6+X7</f>
      </c>
      <c r="Y8">
        <f>Y5+Y6+Y7</f>
      </c>
      <c r="Z8">
        <f>Z5+Z6+Z7</f>
      </c>
    </row>
    <row r="9" spans="1:26" x14ac:dyDescent="0.25">
      <c r="A9" t="s">
        <v>8</v>
      </c>
      <c r="B9">
        <f>B4-B8</f>
      </c>
      <c r="C9">
        <f>C4-C8</f>
      </c>
      <c r="D9">
        <f>D4-D8</f>
      </c>
      <c r="E9">
        <f>E4-E8</f>
      </c>
      <c r="F9">
        <f>F4-F8</f>
      </c>
      <c r="G9">
        <f>G4-G8</f>
      </c>
      <c r="H9">
        <f>H4-H8</f>
      </c>
      <c r="I9">
        <f>I4-I8</f>
      </c>
      <c r="J9">
        <f>J4-J8</f>
      </c>
      <c r="K9">
        <f>K4-K8</f>
      </c>
      <c r="L9">
        <f>L4-L8</f>
      </c>
      <c r="M9">
        <f>M4-M8</f>
      </c>
      <c r="N9">
        <f>N4-N8</f>
      </c>
      <c r="O9">
        <f>O4-O8</f>
      </c>
      <c r="P9">
        <f>P4-P8</f>
      </c>
      <c r="Q9">
        <f>Q4-Q8</f>
      </c>
      <c r="R9">
        <f>R4-R8</f>
      </c>
      <c r="S9">
        <f>S4-S8</f>
      </c>
      <c r="T9">
        <f>T4-T8</f>
      </c>
      <c r="U9">
        <f>U4-U8</f>
      </c>
      <c r="V9">
        <f>V4-V8</f>
      </c>
      <c r="W9">
        <f>W4-W8</f>
      </c>
      <c r="X9">
        <f>X4-X8</f>
      </c>
      <c r="Y9">
        <f>Y4-Y8</f>
      </c>
      <c r="Z9">
        <f>Z4-Z8</f>
      </c>
    </row>
    <row r="10" spans="1:26" x14ac:dyDescent="0.25">
      <c r="A10" t="s">
        <v>9</v>
      </c>
      <c r="F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G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H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I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J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K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L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M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N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O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P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Q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R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S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T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U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V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W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X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Y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Z10">
        <f>IF(TRUE, 0, "Don't change this value, we are computing the Enterprise Value as if the firm had no cash since we are adding it back further in the calculation. More info: https://pages.stern.nyu.edu/~adamodar/New_Home_Page/lectures/cash.htm")</f>
      </c>
    </row>
    <row r="11" spans="1:1" x14ac:dyDescent="0.25">
      <c r="A11" t="s">
        <v>10</v>
      </c>
    </row>
    <row r="12" spans="1:5" x14ac:dyDescent="0.25">
      <c r="A12" t="s">
        <v>11</v>
      </c>
      <c r="B12">
        <v>8121</v>
      </c>
      <c r="C12">
        <v>5939</v>
      </c>
      <c r="D12">
        <v>1165</v>
      </c>
      <c r="E12">
        <v>7053</v>
      </c>
    </row>
    <row r="13" spans="1:5" x14ac:dyDescent="0.25">
      <c r="A13" t="s">
        <v>12</v>
      </c>
      <c r="B13">
        <v>-35409</v>
      </c>
      <c r="C13">
        <v>1526</v>
      </c>
      <c r="D13">
        <v>-36608</v>
      </c>
      <c r="E13">
        <v>-3113</v>
      </c>
    </row>
    <row r="14" spans="1:26" x14ac:dyDescent="0.25">
      <c r="A14" t="s">
        <v>13</v>
      </c>
      <c r="B14">
        <f>B12+B13</f>
      </c>
      <c r="C14">
        <f>C12+C13</f>
      </c>
      <c r="D14">
        <f>D12+D13</f>
      </c>
      <c r="E14">
        <f>E12+E13</f>
      </c>
      <c r="F14">
        <f>F12+F13</f>
      </c>
      <c r="G14">
        <f>G12+G13</f>
      </c>
      <c r="H14">
        <f>H12+H13</f>
      </c>
      <c r="I14">
        <f>I12+I13</f>
      </c>
      <c r="J14">
        <f>J12+J13</f>
      </c>
      <c r="K14">
        <f>K12+K13</f>
      </c>
      <c r="L14">
        <f>L12+L13</f>
      </c>
      <c r="M14">
        <f>M12+M13</f>
      </c>
      <c r="N14">
        <f>N12+N13</f>
      </c>
      <c r="O14">
        <f>O12+O13</f>
      </c>
      <c r="P14">
        <f>P12+P13</f>
      </c>
      <c r="Q14">
        <f>Q12+Q13</f>
      </c>
      <c r="R14">
        <f>R12+R13</f>
      </c>
      <c r="S14">
        <f>S12+S13</f>
      </c>
      <c r="T14">
        <f>T12+T13</f>
      </c>
      <c r="U14">
        <f>U12+U13</f>
      </c>
      <c r="V14">
        <f>V12+V13</f>
      </c>
      <c r="W14">
        <f>W12+W13</f>
      </c>
      <c r="X14">
        <f>X12+X13</f>
      </c>
      <c r="Y14">
        <f>Y12+Y13</f>
      </c>
      <c r="Z14">
        <f>Z12+Z13</f>
      </c>
    </row>
    <row r="15" spans="1:1" x14ac:dyDescent="0.25">
      <c r="A15" t="s">
        <v>14</v>
      </c>
    </row>
    <row r="16" spans="1:26" x14ac:dyDescent="0.25">
      <c r="A16" t="s">
        <v>15</v>
      </c>
      <c r="B16">
        <f>B9+B14-B15</f>
      </c>
      <c r="C16">
        <f>C9+C14-C15</f>
      </c>
      <c r="D16">
        <f>D9+D14-D15</f>
      </c>
      <c r="E16">
        <f>E9+E14-E15</f>
      </c>
      <c r="F16">
        <f>F9+F14-F15</f>
      </c>
      <c r="G16">
        <f>G9+G14-G15</f>
      </c>
      <c r="H16">
        <f>H9+H14-H15</f>
      </c>
      <c r="I16">
        <f>I9+I14-I15</f>
      </c>
      <c r="J16">
        <f>J9+J14-J15</f>
      </c>
      <c r="K16">
        <f>K9+K14-K15</f>
      </c>
      <c r="L16">
        <f>L9+L14-L15</f>
      </c>
      <c r="M16">
        <f>M9+M14-M15</f>
      </c>
      <c r="N16">
        <f>N9+N14-N15</f>
      </c>
      <c r="O16">
        <f>O9+O14-O15</f>
      </c>
      <c r="P16">
        <f>P9+P14-P15</f>
      </c>
      <c r="Q16">
        <f>Q9+Q14-Q15</f>
      </c>
      <c r="R16">
        <f>R9+R14-R15</f>
      </c>
      <c r="S16">
        <f>S9+S14-S15</f>
      </c>
      <c r="T16">
        <f>T9+T14-T15</f>
      </c>
      <c r="U16">
        <f>U9+U14-U15</f>
      </c>
      <c r="V16">
        <f>V9+V14-V15</f>
      </c>
      <c r="W16">
        <f>W9+W14-W15</f>
      </c>
      <c r="X16">
        <f>X9+X14-X15</f>
      </c>
      <c r="Y16">
        <f>Y9+Y14-Y15</f>
      </c>
      <c r="Z16">
        <f>Z9+Z14-Z15</f>
      </c>
    </row>
    <row r="17" spans="1:5" x14ac:dyDescent="0.25">
      <c r="A17" t="s">
        <v>16</v>
      </c>
      <c r="B17">
        <v>0</v>
      </c>
      <c r="C17">
        <v>0</v>
      </c>
      <c r="D17">
        <v>0</v>
      </c>
      <c r="E17">
        <v>0</v>
      </c>
    </row>
    <row r="18" spans="1:5" x14ac:dyDescent="0.25">
      <c r="A18" t="s">
        <v>17</v>
      </c>
      <c r="B18">
        <v>0</v>
      </c>
      <c r="C18">
        <v>0</v>
      </c>
      <c r="D18">
        <v>0</v>
      </c>
      <c r="E18">
        <v>0</v>
      </c>
    </row>
    <row r="19" spans="1:5" x14ac:dyDescent="0.25">
      <c r="A19" t="s">
        <v>18</v>
      </c>
      <c r="B19">
        <v>0</v>
      </c>
      <c r="C19">
        <v>0</v>
      </c>
      <c r="D19">
        <v>0</v>
      </c>
      <c r="E19">
        <v>0</v>
      </c>
    </row>
    <row r="20" spans="1:5" x14ac:dyDescent="0.25">
      <c r="A20" t="s">
        <v>19</v>
      </c>
      <c r="B20">
        <v>0</v>
      </c>
      <c r="C20">
        <v>0</v>
      </c>
      <c r="D20">
        <v>0</v>
      </c>
      <c r="E20">
        <v>0</v>
      </c>
    </row>
    <row r="21" spans="1:1" x14ac:dyDescent="0.25">
      <c r="A21" t="s">
        <v>20</v>
      </c>
    </row>
    <row r="22" spans="1:26" x14ac:dyDescent="0.25">
      <c r="A22" t="s">
        <v>21</v>
      </c>
      <c r="B22">
        <f>B16-B17+B18-B19+B20+B21</f>
      </c>
      <c r="C22">
        <f>C16-C17+C18-C19+C20+C21</f>
      </c>
      <c r="D22">
        <f>D16-D17+D18-D19+D20+D21</f>
      </c>
      <c r="E22">
        <f>E16-E17+E18-E19+E20+E21</f>
      </c>
      <c r="F22">
        <f>F16-F17+F18-F19+F20+F21</f>
      </c>
      <c r="G22">
        <f>G16-G17+G18-G19+G20+G21</f>
      </c>
      <c r="H22">
        <f>H16-H17+H18-H19+H20+H21</f>
      </c>
      <c r="I22">
        <f>I16-I17+I18-I19+I20+I21</f>
      </c>
      <c r="J22">
        <f>J16-J17+J18-J19+J20+J21</f>
      </c>
      <c r="K22">
        <f>K16-K17+K18-K19+K20+K21</f>
      </c>
      <c r="L22">
        <f>L16-L17+L18-L19+L20+L21</f>
      </c>
      <c r="M22">
        <f>M16-M17+M18-M19+M20+M21</f>
      </c>
      <c r="N22">
        <f>N16-N17+N18-N19+N20+N21</f>
      </c>
      <c r="O22">
        <f>O16-O17+O18-O19+O20+O21</f>
      </c>
      <c r="P22">
        <f>P16-P17+P18-P19+P20+P21</f>
      </c>
      <c r="Q22">
        <f>Q16-Q17+Q18-Q19+Q20+Q21</f>
      </c>
      <c r="R22">
        <f>R16-R17+R18-R19+R20+R21</f>
      </c>
      <c r="S22">
        <f>S16-S17+S18-S19+S20+S21</f>
      </c>
      <c r="T22">
        <f>T16-T17+T18-T19+T20+T21</f>
      </c>
      <c r="U22">
        <f>U16-U17+U18-U19+U20+U21</f>
      </c>
      <c r="V22">
        <f>V16-V17+V18-V19+V20+V21</f>
      </c>
      <c r="W22">
        <f>W16-W17+W18-W19+W20+W21</f>
      </c>
      <c r="X22">
        <f>X16-X17+X18-X19+X20+X21</f>
      </c>
      <c r="Y22">
        <f>Y16-Y17+Y18-Y19+Y20+Y21</f>
      </c>
      <c r="Z22">
        <f>Z16-Z17+Z18-Z19+Z20+Z21</f>
      </c>
    </row>
    <row r="24" spans="1:5" x14ac:dyDescent="0.25">
      <c r="A24" t="s">
        <v>22</v>
      </c>
      <c r="B24">
        <v>1256</v>
      </c>
      <c r="C24">
        <v>4294</v>
      </c>
      <c r="D24">
        <v>13624</v>
      </c>
      <c r="E24">
        <v>18020</v>
      </c>
    </row>
    <row r="25" spans="1:5" x14ac:dyDescent="0.25">
      <c r="A25" t="s">
        <v>23</v>
      </c>
      <c r="B25">
        <v>15732</v>
      </c>
      <c r="C25">
        <v>33261</v>
      </c>
      <c r="D25">
        <v>62201</v>
      </c>
      <c r="E25">
        <v>81924</v>
      </c>
    </row>
    <row r="26" spans="1:5" x14ac:dyDescent="0.25">
      <c r="A26" t="s">
        <v>24</v>
      </c>
      <c r="B26">
        <v>151863</v>
      </c>
      <c r="C26">
        <v>6043</v>
      </c>
      <c r="D26">
        <v>48145</v>
      </c>
      <c r="E26">
        <v>-86381</v>
      </c>
    </row>
    <row r="27" spans="1:26" x14ac:dyDescent="0.25">
      <c r="A27" t="s">
        <v>25</v>
      </c>
      <c r="B27">
        <f>B22+B24+B25+B26</f>
      </c>
      <c r="C27">
        <f>C22+C24+C25+C26</f>
      </c>
      <c r="D27">
        <f>D22+D24+D25+D26</f>
      </c>
      <c r="E27">
        <f>E22+E24+E25+E26</f>
      </c>
      <c r="F27">
        <f>F22+F24+F25+F26</f>
      </c>
      <c r="G27">
        <f>G22+G24+G25+G26</f>
      </c>
      <c r="H27">
        <f>H22+H24+H25+H26</f>
      </c>
      <c r="I27">
        <f>I22+I24+I25+I26</f>
      </c>
      <c r="J27">
        <f>J22+J24+J25+J26</f>
      </c>
      <c r="K27">
        <f>K22+K24+K25+K26</f>
      </c>
      <c r="L27">
        <f>L22+L24+L25+L26</f>
      </c>
      <c r="M27">
        <f>M22+M24+M25+M26</f>
      </c>
      <c r="N27">
        <f>N22+N24+N25+N26</f>
      </c>
      <c r="O27">
        <f>O22+O24+O25+O26</f>
      </c>
      <c r="P27">
        <f>P22+P24+P25+P26</f>
      </c>
      <c r="Q27">
        <f>Q22+Q24+Q25+Q26</f>
      </c>
      <c r="R27">
        <f>R22+R24+R25+R26</f>
      </c>
      <c r="S27">
        <f>S22+S24+S25+S26</f>
      </c>
      <c r="T27">
        <f>T22+T24+T25+T26</f>
      </c>
      <c r="U27">
        <f>U22+U24+U25+U26</f>
      </c>
      <c r="V27">
        <f>V22+V24+V25+V26</f>
      </c>
      <c r="W27">
        <f>W22+W24+W25+W26</f>
      </c>
      <c r="X27">
        <f>X22+X24+X25+X26</f>
      </c>
      <c r="Y27">
        <f>Y22+Y24+Y25+Y26</f>
      </c>
      <c r="Z27">
        <f>Z22+Z24+Z25+Z26</f>
      </c>
    </row>
    <row r="28" spans="1:5" x14ac:dyDescent="0.25">
      <c r="A28" t="s">
        <v>26</v>
      </c>
      <c r="B28">
        <v>16047</v>
      </c>
      <c r="C28">
        <v>51481</v>
      </c>
      <c r="D28">
        <v>65504</v>
      </c>
      <c r="E28">
        <v>24276</v>
      </c>
    </row>
    <row r="29" spans="1:26" x14ac:dyDescent="0.25">
      <c r="A29" t="s">
        <v>27</v>
      </c>
      <c r="B29">
        <f>B27-B28</f>
      </c>
      <c r="C29">
        <f>C27-C28</f>
      </c>
      <c r="D29">
        <f>D27-D28</f>
      </c>
      <c r="E29">
        <f>E27-E28</f>
      </c>
      <c r="F29">
        <f>F27-F28</f>
      </c>
      <c r="G29">
        <f>G27-G28</f>
      </c>
      <c r="H29">
        <f>H27-H28</f>
      </c>
      <c r="I29">
        <f>I27-I28</f>
      </c>
      <c r="J29">
        <f>J27-J28</f>
      </c>
      <c r="K29">
        <f>K27-K28</f>
      </c>
      <c r="L29">
        <f>L27-L28</f>
      </c>
      <c r="M29">
        <f>M27-M28</f>
      </c>
      <c r="N29">
        <f>N27-N28</f>
      </c>
      <c r="O29">
        <f>O27-O28</f>
      </c>
      <c r="P29">
        <f>P27-P28</f>
      </c>
      <c r="Q29">
        <f>Q27-Q28</f>
      </c>
      <c r="R29">
        <f>R27-R28</f>
      </c>
      <c r="S29">
        <f>S27-S28</f>
      </c>
      <c r="T29">
        <f>T27-T28</f>
      </c>
      <c r="U29">
        <f>U27-U28</f>
      </c>
      <c r="V29">
        <f>V27-V28</f>
      </c>
      <c r="W29">
        <f>W27-W28</f>
      </c>
      <c r="X29">
        <f>X27-X28</f>
      </c>
      <c r="Y29">
        <f>Y27-Y28</f>
      </c>
      <c r="Z29">
        <f>Z27-Z28</f>
      </c>
    </row>
    <row r="31" spans="1:26" x14ac:dyDescent="0.25">
      <c r="A31" t="s">
        <v>28</v>
      </c>
      <c r="C31">
        <f>IF(AND(COUNT(B2,C2)=2, C2&lt;&gt;0, B2&lt;&gt;0), C2/B2-1, " ")</f>
      </c>
      <c r="D31">
        <f>IF(AND(COUNT(C2,D2)=2, D2&lt;&gt;0, C2&lt;&gt;0), D2/C2-1, " ")</f>
      </c>
      <c r="E31">
        <f>IF(AND(COUNT(D2,E2)=2, E2&lt;&gt;0, D2&lt;&gt;0), E2/D2-1, " ")</f>
      </c>
      <c r="F31">
        <f>IF(AND(COUNT(E2,F2)=2, F2&lt;&gt;0, E2&lt;&gt;0), F2/E2-1, " ")</f>
      </c>
      <c r="G31">
        <f>IF(AND(COUNT(F2,G2)=2, G2&lt;&gt;0, F2&lt;&gt;0), G2/F2-1, " ")</f>
      </c>
      <c r="H31">
        <f>IF(AND(COUNT(G2,H2)=2, H2&lt;&gt;0, G2&lt;&gt;0), H2/G2-1, " ")</f>
      </c>
      <c r="I31">
        <f>IF(AND(COUNT(H2,I2)=2, I2&lt;&gt;0, H2&lt;&gt;0), I2/H2-1, " ")</f>
      </c>
      <c r="J31">
        <f>IF(AND(COUNT(I2,J2)=2, J2&lt;&gt;0, I2&lt;&gt;0), J2/I2-1, " ")</f>
      </c>
      <c r="K31">
        <f>IF(AND(COUNT(J2,K2)=2, K2&lt;&gt;0, J2&lt;&gt;0), K2/J2-1, " ")</f>
      </c>
      <c r="L31">
        <f>IF(AND(COUNT(K2,L2)=2, L2&lt;&gt;0, K2&lt;&gt;0), L2/K2-1, " ")</f>
      </c>
      <c r="M31">
        <f>IF(AND(COUNT(L2,M2)=2, M2&lt;&gt;0, L2&lt;&gt;0), M2/L2-1, " ")</f>
      </c>
      <c r="N31">
        <f>IF(AND(COUNT(M2,N2)=2, N2&lt;&gt;0, M2&lt;&gt;0), N2/M2-1, " ")</f>
      </c>
      <c r="O31">
        <f>IF(AND(COUNT(N2,O2)=2, O2&lt;&gt;0, N2&lt;&gt;0), O2/N2-1, " ")</f>
      </c>
      <c r="P31">
        <f>IF(AND(COUNT(O2,P2)=2, P2&lt;&gt;0, O2&lt;&gt;0), P2/O2-1, " ")</f>
      </c>
      <c r="Q31">
        <f>IF(AND(COUNT(P2,Q2)=2, Q2&lt;&gt;0, P2&lt;&gt;0), Q2/P2-1, " ")</f>
      </c>
      <c r="R31">
        <f>IF(AND(COUNT(Q2,R2)=2, R2&lt;&gt;0, Q2&lt;&gt;0), R2/Q2-1, " ")</f>
      </c>
      <c r="S31">
        <f>IF(AND(COUNT(R2,S2)=2, S2&lt;&gt;0, R2&lt;&gt;0), S2/R2-1, " ")</f>
      </c>
      <c r="T31">
        <f>IF(AND(COUNT(S2,T2)=2, T2&lt;&gt;0, S2&lt;&gt;0), T2/S2-1, " ")</f>
      </c>
      <c r="U31">
        <f>IF(AND(COUNT(T2,U2)=2, U2&lt;&gt;0, T2&lt;&gt;0), U2/T2-1, " ")</f>
      </c>
      <c r="V31">
        <f>IF(AND(COUNT(U2,V2)=2, V2&lt;&gt;0, U2&lt;&gt;0), V2/U2-1, " ")</f>
      </c>
      <c r="W31">
        <f>IF(AND(COUNT(V2,W2)=2, W2&lt;&gt;0, V2&lt;&gt;0), W2/V2-1, " ")</f>
      </c>
      <c r="X31">
        <f>IF(AND(COUNT(W2,X2)=2, X2&lt;&gt;0, W2&lt;&gt;0), X2/W2-1, " ")</f>
      </c>
      <c r="Y31">
        <f>IF(AND(COUNT(X2,Y2)=2, Y2&lt;&gt;0, X2&lt;&gt;0), Y2/X2-1, " ")</f>
      </c>
      <c r="Z31">
        <f>IF(AND(COUNT(Y2,Z2)=2, Z2&lt;&gt;0, Y2&lt;&gt;0), Z2/Y2-1, " ")</f>
      </c>
    </row>
    <row r="32" spans="1:26" x14ac:dyDescent="0.25">
      <c r="A32" t="s">
        <v>29</v>
      </c>
      <c r="B32">
        <f>IF(AND(COUNT(B2,B4)=2, B2&lt;&gt;0), B4/B2, " ")</f>
      </c>
      <c r="C32">
        <f>IF(AND(COUNT(C2,C4)=2, C2&lt;&gt;0), C4/C2, " ")</f>
      </c>
      <c r="D32">
        <f>IF(AND(COUNT(D2,D4)=2, D2&lt;&gt;0), D4/D2, " ")</f>
      </c>
      <c r="E32">
        <f>IF(AND(COUNT(E2,E4)=2, E2&lt;&gt;0), E4/E2, " ")</f>
      </c>
      <c r="F32">
        <f>IF(AND(COUNT(F2,F4)=2, F2&lt;&gt;0), F4/F2, " ")</f>
      </c>
      <c r="G32">
        <f>IF(AND(COUNT(G2,G4)=2, G2&lt;&gt;0), G4/G2, " ")</f>
      </c>
      <c r="H32">
        <f>IF(AND(COUNT(H2,H4)=2, H2&lt;&gt;0), H4/H2, " ")</f>
      </c>
      <c r="I32">
        <f>IF(AND(COUNT(I2,I4)=2, I2&lt;&gt;0), I4/I2, " ")</f>
      </c>
      <c r="J32">
        <f>IF(AND(COUNT(J2,J4)=2, J2&lt;&gt;0), J4/J2, " ")</f>
      </c>
      <c r="K32">
        <f>IF(AND(COUNT(K2,K4)=2, K2&lt;&gt;0), K4/K2, " ")</f>
      </c>
      <c r="L32">
        <f>IF(AND(COUNT(L2,L4)=2, L2&lt;&gt;0), L4/L2, " ")</f>
      </c>
      <c r="M32">
        <f>IF(AND(COUNT(M2,M4)=2, M2&lt;&gt;0), M4/M2, " ")</f>
      </c>
      <c r="N32">
        <f>IF(AND(COUNT(N2,N4)=2, N2&lt;&gt;0), N4/N2, " ")</f>
      </c>
      <c r="O32">
        <f>IF(AND(COUNT(O2,O4)=2, O2&lt;&gt;0), O4/O2, " ")</f>
      </c>
      <c r="P32">
        <f>IF(AND(COUNT(P2,P4)=2, P2&lt;&gt;0), P4/P2, " ")</f>
      </c>
      <c r="Q32">
        <f>IF(AND(COUNT(Q2,Q4)=2, Q2&lt;&gt;0), Q4/Q2, " ")</f>
      </c>
      <c r="R32">
        <f>IF(AND(COUNT(R2,R4)=2, R2&lt;&gt;0), R4/R2, " ")</f>
      </c>
      <c r="S32">
        <f>IF(AND(COUNT(S2,S4)=2, S2&lt;&gt;0), S4/S2, " ")</f>
      </c>
      <c r="T32">
        <f>IF(AND(COUNT(T2,T4)=2, T2&lt;&gt;0), T4/T2, " ")</f>
      </c>
      <c r="U32">
        <f>IF(AND(COUNT(U2,U4)=2, U2&lt;&gt;0), U4/U2, " ")</f>
      </c>
      <c r="V32">
        <f>IF(AND(COUNT(V2,V4)=2, V2&lt;&gt;0), V4/V2, " ")</f>
      </c>
      <c r="W32">
        <f>IF(AND(COUNT(W2,W4)=2, W2&lt;&gt;0), W4/W2, " ")</f>
      </c>
      <c r="X32">
        <f>IF(AND(COUNT(X2,X4)=2, X2&lt;&gt;0), X4/X2, " ")</f>
      </c>
      <c r="Y32">
        <f>IF(AND(COUNT(Y2,Y4)=2, Y2&lt;&gt;0), Y4/Y2, " ")</f>
      </c>
      <c r="Z32">
        <f>IF(AND(COUNT(Z2,Z4)=2, Z2&lt;&gt;0), Z4/Z2, " ")</f>
      </c>
    </row>
    <row r="33" spans="1:26" x14ac:dyDescent="0.25">
      <c r="A33" t="s">
        <v>30</v>
      </c>
      <c r="B33">
        <f>IF(AND(COUNT(B2,B9)=2, B2&lt;&gt;0), B9/B2, " ")</f>
      </c>
      <c r="C33">
        <f>IF(AND(COUNT(C2,C9)=2, C2&lt;&gt;0), C9/C2, " ")</f>
      </c>
      <c r="D33">
        <f>IF(AND(COUNT(D2,D9)=2, D2&lt;&gt;0), D9/D2, " ")</f>
      </c>
      <c r="E33">
        <f>IF(AND(COUNT(E2,E9)=2, E2&lt;&gt;0), E9/E2, " ")</f>
      </c>
      <c r="F33">
        <f>IF(AND(COUNT(F2,F9)=2, F2&lt;&gt;0), F9/F2, " ")</f>
      </c>
      <c r="G33">
        <f>IF(AND(COUNT(G2,G9)=2, G2&lt;&gt;0), G9/G2, " ")</f>
      </c>
      <c r="H33">
        <f>IF(AND(COUNT(H2,H9)=2, H2&lt;&gt;0), H9/H2, " ")</f>
      </c>
      <c r="I33">
        <f>IF(AND(COUNT(I2,I9)=2, I2&lt;&gt;0), I9/I2, " ")</f>
      </c>
      <c r="J33">
        <f>IF(AND(COUNT(J2,J9)=2, J2&lt;&gt;0), J9/J2, " ")</f>
      </c>
      <c r="K33">
        <f>IF(AND(COUNT(K2,K9)=2, K2&lt;&gt;0), K9/K2, " ")</f>
      </c>
      <c r="L33">
        <f>IF(AND(COUNT(L2,L9)=2, L2&lt;&gt;0), L9/L2, " ")</f>
      </c>
      <c r="M33">
        <f>IF(AND(COUNT(M2,M9)=2, M2&lt;&gt;0), M9/M2, " ")</f>
      </c>
      <c r="N33">
        <f>IF(AND(COUNT(N2,N9)=2, N2&lt;&gt;0), N9/N2, " ")</f>
      </c>
      <c r="O33">
        <f>IF(AND(COUNT(O2,O9)=2, O2&lt;&gt;0), O9/O2, " ")</f>
      </c>
      <c r="P33">
        <f>IF(AND(COUNT(P2,P9)=2, P2&lt;&gt;0), P9/P2, " ")</f>
      </c>
      <c r="Q33">
        <f>IF(AND(COUNT(Q2,Q9)=2, Q2&lt;&gt;0), Q9/Q2, " ")</f>
      </c>
      <c r="R33">
        <f>IF(AND(COUNT(R2,R9)=2, R2&lt;&gt;0), R9/R2, " ")</f>
      </c>
      <c r="S33">
        <f>IF(AND(COUNT(S2,S9)=2, S2&lt;&gt;0), S9/S2, " ")</f>
      </c>
      <c r="T33">
        <f>IF(AND(COUNT(T2,T9)=2, T2&lt;&gt;0), T9/T2, " ")</f>
      </c>
      <c r="U33">
        <f>IF(AND(COUNT(U2,U9)=2, U2&lt;&gt;0), U9/U2, " ")</f>
      </c>
      <c r="V33">
        <f>IF(AND(COUNT(V2,V9)=2, V2&lt;&gt;0), V9/V2, " ")</f>
      </c>
      <c r="W33">
        <f>IF(AND(COUNT(W2,W9)=2, W2&lt;&gt;0), W9/W2, " ")</f>
      </c>
      <c r="X33">
        <f>IF(AND(COUNT(X2,X9)=2, X2&lt;&gt;0), X9/X2, " ")</f>
      </c>
      <c r="Y33">
        <f>IF(AND(COUNT(Y2,Y9)=2, Y2&lt;&gt;0), Y9/Y2, " ")</f>
      </c>
      <c r="Z33">
        <f>IF(AND(COUNT(Z2,Z9)=2, Z2&lt;&gt;0), Z9/Z2, " ")</f>
      </c>
    </row>
    <row r="34" spans="1:26" x14ac:dyDescent="0.25">
      <c r="A34" t="s">
        <v>31</v>
      </c>
      <c r="B34">
        <f>IF(AND(COUNT(B15,B15)=2, B15&lt;&gt;0), B16/B15, " ")</f>
      </c>
      <c r="C34">
        <f>IF(AND(COUNT(C15,C15)=2, C15&lt;&gt;0), C16/C15, " ")</f>
      </c>
      <c r="D34">
        <f>IF(AND(COUNT(D15,D15)=2, D15&lt;&gt;0), D16/D15, " ")</f>
      </c>
      <c r="E34">
        <f>IF(AND(COUNT(E15,E15)=2, E15&lt;&gt;0), E16/E15, " ")</f>
      </c>
      <c r="F34">
        <f>IF(AND(COUNT(F15,F15)=2, F15&lt;&gt;0), F16/F15, " ")</f>
      </c>
      <c r="G34">
        <f>IF(AND(COUNT(G15,G15)=2, G15&lt;&gt;0), G16/G15, " ")</f>
      </c>
      <c r="H34">
        <f>IF(AND(COUNT(H15,H15)=2, H15&lt;&gt;0), H16/H15, " ")</f>
      </c>
      <c r="I34">
        <f>IF(AND(COUNT(I15,I15)=2, I15&lt;&gt;0), I16/I15, " ")</f>
      </c>
      <c r="J34">
        <f>IF(AND(COUNT(J15,J15)=2, J15&lt;&gt;0), J16/J15, " ")</f>
      </c>
      <c r="K34">
        <f>IF(AND(COUNT(K15,K15)=2, K15&lt;&gt;0), K16/K15, " ")</f>
      </c>
      <c r="L34">
        <f>IF(AND(COUNT(L15,L15)=2, L15&lt;&gt;0), L16/L15, " ")</f>
      </c>
      <c r="M34">
        <f>IF(AND(COUNT(M15,M15)=2, M15&lt;&gt;0), M16/M15, " ")</f>
      </c>
      <c r="N34">
        <f>IF(AND(COUNT(N15,N15)=2, N15&lt;&gt;0), N16/N15, " ")</f>
      </c>
      <c r="O34">
        <f>IF(AND(COUNT(O15,O15)=2, O15&lt;&gt;0), O16/O15, " ")</f>
      </c>
      <c r="P34">
        <f>IF(AND(COUNT(P15,P15)=2, P15&lt;&gt;0), P16/P15, " ")</f>
      </c>
      <c r="Q34">
        <f>IF(AND(COUNT(Q15,Q15)=2, Q15&lt;&gt;0), Q16/Q15, " ")</f>
      </c>
      <c r="R34">
        <f>IF(AND(COUNT(R15,R15)=2, R15&lt;&gt;0), R16/R15, " ")</f>
      </c>
      <c r="S34">
        <f>IF(AND(COUNT(S15,S15)=2, S15&lt;&gt;0), S16/S15, " ")</f>
      </c>
      <c r="T34">
        <f>IF(AND(COUNT(T15,T15)=2, T15&lt;&gt;0), T16/T15, " ")</f>
      </c>
      <c r="U34">
        <f>IF(AND(COUNT(U15,U15)=2, U15&lt;&gt;0), U16/U15, " ")</f>
      </c>
      <c r="V34">
        <f>IF(AND(COUNT(V15,V15)=2, V15&lt;&gt;0), V16/V15, " ")</f>
      </c>
      <c r="W34">
        <f>IF(AND(COUNT(W15,W15)=2, W15&lt;&gt;0), W16/W15, " ")</f>
      </c>
      <c r="X34">
        <f>IF(AND(COUNT(X15,X15)=2, X15&lt;&gt;0), X16/X15, " ")</f>
      </c>
      <c r="Y34">
        <f>IF(AND(COUNT(Y15,Y15)=2, Y15&lt;&gt;0), Y16/Y15, " ")</f>
      </c>
      <c r="Z34">
        <f>IF(AND(COUNT(Z15,Z15)=2, Z15&lt;&gt;0), Z16/Z15, " ")</f>
      </c>
    </row>
    <row r="35" spans="1:26" x14ac:dyDescent="0.25">
      <c r="A35" t="s">
        <v>32</v>
      </c>
      <c r="B35">
        <f>IF(AND(COUNT(B22,B2)=2, B2&lt;&gt;0), B22/B2, " ")</f>
      </c>
      <c r="C35">
        <f>IF(AND(COUNT(C22,C2)=2, C2&lt;&gt;0), C22/C2, " ")</f>
      </c>
      <c r="D35">
        <f>IF(AND(COUNT(D22,D2)=2, D2&lt;&gt;0), D22/D2, " ")</f>
      </c>
      <c r="E35">
        <f>IF(AND(COUNT(E22,E2)=2, E2&lt;&gt;0), E22/E2, " ")</f>
      </c>
      <c r="F35">
        <f>IF(AND(COUNT(F22,F2)=2, F2&lt;&gt;0), F22/F2, " ")</f>
      </c>
      <c r="G35">
        <f>IF(AND(COUNT(G22,G2)=2, G2&lt;&gt;0), G22/G2, " ")</f>
      </c>
      <c r="H35">
        <f>IF(AND(COUNT(H22,H2)=2, H2&lt;&gt;0), H22/H2, " ")</f>
      </c>
      <c r="I35">
        <f>IF(AND(COUNT(I22,I2)=2, I2&lt;&gt;0), I22/I2, " ")</f>
      </c>
      <c r="J35">
        <f>IF(AND(COUNT(J22,J2)=2, J2&lt;&gt;0), J22/J2, " ")</f>
      </c>
      <c r="K35">
        <f>IF(AND(COUNT(K22,K2)=2, K2&lt;&gt;0), K22/K2, " ")</f>
      </c>
      <c r="L35">
        <f>IF(AND(COUNT(L22,L2)=2, L2&lt;&gt;0), L22/L2, " ")</f>
      </c>
      <c r="M35">
        <f>IF(AND(COUNT(M22,M2)=2, M2&lt;&gt;0), M22/M2, " ")</f>
      </c>
      <c r="N35">
        <f>IF(AND(COUNT(N22,N2)=2, N2&lt;&gt;0), N22/N2, " ")</f>
      </c>
      <c r="O35">
        <f>IF(AND(COUNT(O22,O2)=2, O2&lt;&gt;0), O22/O2, " ")</f>
      </c>
      <c r="P35">
        <f>IF(AND(COUNT(P22,P2)=2, P2&lt;&gt;0), P22/P2, " ")</f>
      </c>
      <c r="Q35">
        <f>IF(AND(COUNT(Q22,Q2)=2, Q2&lt;&gt;0), Q22/Q2, " ")</f>
      </c>
      <c r="R35">
        <f>IF(AND(COUNT(R22,R2)=2, R2&lt;&gt;0), R22/R2, " ")</f>
      </c>
      <c r="S35">
        <f>IF(AND(COUNT(S22,S2)=2, S2&lt;&gt;0), S22/S2, " ")</f>
      </c>
      <c r="T35">
        <f>IF(AND(COUNT(T22,T2)=2, T2&lt;&gt;0), T22/T2, " ")</f>
      </c>
      <c r="U35">
        <f>IF(AND(COUNT(U22,U2)=2, U2&lt;&gt;0), U22/U2, " ")</f>
      </c>
      <c r="V35">
        <f>IF(AND(COUNT(V22,V2)=2, V2&lt;&gt;0), V22/V2, " ")</f>
      </c>
      <c r="W35">
        <f>IF(AND(COUNT(W22,W2)=2, W2&lt;&gt;0), W22/W2, " ")</f>
      </c>
      <c r="X35">
        <f>IF(AND(COUNT(X22,X2)=2, X2&lt;&gt;0), X22/X2, " ")</f>
      </c>
      <c r="Y35">
        <f>IF(AND(COUNT(Y22,Y2)=2, Y2&lt;&gt;0), Y22/Y2, " ")</f>
      </c>
      <c r="Z35">
        <f>IF(AND(COUNT(Z22,Z2)=2, Z2&lt;&gt;0), Z22/Z2, " ")</f>
      </c>
    </row>
    <row r="36" spans="1:26" x14ac:dyDescent="0.25">
      <c r="A36" t="s">
        <v>33</v>
      </c>
      <c r="C36">
        <f>IF(AND(COUNT(B29,C29)=2, C29&lt;&gt;0, B2&lt;&gt;0), C27/B29-1, " ")</f>
      </c>
      <c r="D36">
        <f>IF(AND(COUNT(C29,D29)=2, D29&lt;&gt;0, C2&lt;&gt;0), D27/C29-1, " ")</f>
      </c>
      <c r="E36">
        <f>IF(AND(COUNT(D29,E29)=2, E29&lt;&gt;0, D2&lt;&gt;0), E27/D29-1, " ")</f>
      </c>
      <c r="F36">
        <f>IF(AND(COUNT(E29,F29)=2, F29&lt;&gt;0, E2&lt;&gt;0), F27/E29-1, " ")</f>
      </c>
      <c r="G36">
        <f>IF(AND(COUNT(F29,G29)=2, G29&lt;&gt;0, F2&lt;&gt;0), G27/F29-1, " ")</f>
      </c>
      <c r="H36">
        <f>IF(AND(COUNT(G29,H29)=2, H29&lt;&gt;0, G2&lt;&gt;0), H27/G29-1, " ")</f>
      </c>
      <c r="I36">
        <f>IF(AND(COUNT(H29,I29)=2, I29&lt;&gt;0, H2&lt;&gt;0), I27/H29-1, " ")</f>
      </c>
      <c r="J36">
        <f>IF(AND(COUNT(I29,J29)=2, J29&lt;&gt;0, I2&lt;&gt;0), J27/I29-1, " ")</f>
      </c>
      <c r="K36">
        <f>IF(AND(COUNT(J29,K29)=2, K29&lt;&gt;0, J2&lt;&gt;0), K27/J29-1, " ")</f>
      </c>
      <c r="L36">
        <f>IF(AND(COUNT(K29,L29)=2, L29&lt;&gt;0, K2&lt;&gt;0), L27/K29-1, " ")</f>
      </c>
      <c r="M36">
        <f>IF(AND(COUNT(L29,M29)=2, M29&lt;&gt;0, L2&lt;&gt;0), M27/L29-1, " ")</f>
      </c>
      <c r="N36">
        <f>IF(AND(COUNT(M29,N29)=2, N29&lt;&gt;0, M2&lt;&gt;0), N27/M29-1, " ")</f>
      </c>
      <c r="O36">
        <f>IF(AND(COUNT(N29,O29)=2, O29&lt;&gt;0, N2&lt;&gt;0), O27/N29-1, " ")</f>
      </c>
      <c r="P36">
        <f>IF(AND(COUNT(O29,P29)=2, P29&lt;&gt;0, O2&lt;&gt;0), P27/O29-1, " ")</f>
      </c>
      <c r="Q36">
        <f>IF(AND(COUNT(P29,Q29)=2, Q29&lt;&gt;0, P2&lt;&gt;0), Q27/P29-1, " ")</f>
      </c>
      <c r="R36">
        <f>IF(AND(COUNT(Q29,R29)=2, R29&lt;&gt;0, Q2&lt;&gt;0), R27/Q29-1, " ")</f>
      </c>
      <c r="S36">
        <f>IF(AND(COUNT(R29,S29)=2, S29&lt;&gt;0, R2&lt;&gt;0), S27/R29-1, " ")</f>
      </c>
      <c r="T36">
        <f>IF(AND(COUNT(S29,T29)=2, T29&lt;&gt;0, S2&lt;&gt;0), T27/S29-1, " ")</f>
      </c>
      <c r="U36">
        <f>IF(AND(COUNT(T29,U29)=2, U29&lt;&gt;0, T2&lt;&gt;0), U27/T29-1, " ")</f>
      </c>
      <c r="V36">
        <f>IF(AND(COUNT(U29,V29)=2, V29&lt;&gt;0, U2&lt;&gt;0), V27/U29-1, " ")</f>
      </c>
      <c r="W36">
        <f>IF(AND(COUNT(V29,W29)=2, W29&lt;&gt;0, V2&lt;&gt;0), W27/V29-1, " ")</f>
      </c>
      <c r="X36">
        <f>IF(AND(COUNT(W29,X29)=2, X29&lt;&gt;0, W2&lt;&gt;0), X27/W29-1, " ")</f>
      </c>
      <c r="Y36">
        <f>IF(AND(COUNT(X29,Y29)=2, Y29&lt;&gt;0, X2&lt;&gt;0), Y27/X29-1, " ")</f>
      </c>
      <c r="Z36">
        <f>IF(AND(COUNT(Y29,Z29)=2, Z29&lt;&gt;0, Y2&lt;&gt;0), Z27/Y29-1, " ")</f>
      </c>
    </row>
    <row r="38" spans="1:5" x14ac:dyDescent="0.25">
      <c r="A38" t="s">
        <v>34</v>
      </c>
      <c r="B38">
        <v>0</v>
      </c>
      <c r="C38">
        <v>77045</v>
      </c>
      <c r="D38">
        <v>120098</v>
      </c>
      <c r="E38">
        <v>123023</v>
      </c>
    </row>
    <row r="39" spans="1:5" x14ac:dyDescent="0.25">
      <c r="A39" t="s">
        <v>35</v>
      </c>
      <c r="B39">
        <v>0</v>
      </c>
      <c r="C39">
        <v>908280</v>
      </c>
      <c r="D39">
        <v>1127406</v>
      </c>
      <c r="E39">
        <v>937561</v>
      </c>
    </row>
    <row r="40" spans="1:5" x14ac:dyDescent="0.25">
      <c r="A40" t="s">
        <v>36</v>
      </c>
      <c r="B40">
        <v>111108</v>
      </c>
      <c r="C40">
        <v>1200808</v>
      </c>
      <c r="D40">
        <v>197619</v>
      </c>
      <c r="E40">
        <v>104309</v>
      </c>
    </row>
    <row r="41" spans="1:5" x14ac:dyDescent="0.25">
      <c r="A41" t="s">
        <v>37</v>
      </c>
      <c r="B41">
        <f>B39-B40</f>
      </c>
      <c r="C41">
        <f>C39-C40</f>
      </c>
      <c r="D41">
        <f>D39-D40</f>
      </c>
      <c r="E41">
        <f>E39-E40</f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22"/>
  <sheetFormatPr defaultRowHeight="15" outlineLevelRow="0" outlineLevelCol="0" x14ac:dyDescent="55"/>
  <cols>
    <col min="1" max="1" width="35" customWidth="1"/>
    <col min="2" max="2" width="49" customWidth="1"/>
    <col min="3" max="3" width="75" customWidth="1"/>
    <col min="4" max="4" width="40" customWidth="1"/>
  </cols>
  <sheetData>
    <row r="1" spans="1:1" x14ac:dyDescent="0.25">
      <c r="A1" s="1" t="s">
        <v>0</v>
      </c>
    </row>
    <row r="3" spans="1:3" x14ac:dyDescent="0.25">
      <c r="A3" t="s">
        <v>38</v>
      </c>
      <c r="B3">
        <f>MATCH("Free Cash Flow to Firm", Financials!A:A, 0)</f>
      </c>
      <c r="C3" t="s">
        <v>39</v>
      </c>
    </row>
    <row r="4" spans="1:2" x14ac:dyDescent="0.25">
      <c r="A4" t="s">
        <v>40</v>
      </c>
      <c r="B4" s="2">
        <f>DATE(YEAR(TODAY()), 12, 31)</f>
      </c>
    </row>
    <row r="5" spans="1:1" x14ac:dyDescent="0.25">
      <c r="A5" s="3"/>
    </row>
    <row r="6" spans="1:3" x14ac:dyDescent="0.25">
      <c r="A6" s="3" t="s">
        <v>41</v>
      </c>
      <c r="B6" s="4"/>
      <c r="C6" t="s">
        <v>42</v>
      </c>
    </row>
    <row r="7" spans="1:3" x14ac:dyDescent="0.25">
      <c r="A7" s="3" t="s">
        <v>43</v>
      </c>
      <c r="B7" s="4"/>
      <c r="C7" t="s">
        <v>44</v>
      </c>
    </row>
    <row r="8" spans="1:4" x14ac:dyDescent="0.25">
      <c r="A8" s="3" t="s">
        <v>45</v>
      </c>
      <c r="C8" t="s">
        <v>46</v>
      </c>
      <c r="D8" t="s">
        <v>47</v>
      </c>
    </row>
    <row r="9" spans="1:4" x14ac:dyDescent="0.25">
      <c r="A9" s="3" t="s">
        <v>48</v>
      </c>
      <c r="B9" s="4"/>
      <c r="C9" t="s">
        <v>49</v>
      </c>
      <c r="D9" t="s">
        <v>50</v>
      </c>
    </row>
    <row r="10" spans="1:4" x14ac:dyDescent="0.25">
      <c r="A10" s="3" t="s">
        <v>51</v>
      </c>
      <c r="B10" s="4"/>
      <c r="C10" t="s">
        <v>52</v>
      </c>
      <c r="D10" t="s">
        <v>53</v>
      </c>
    </row>
    <row r="11" spans="1:2" x14ac:dyDescent="0.25">
      <c r="A11" s="3" t="s">
        <v>54</v>
      </c>
      <c r="B11" s="4">
        <f>B10+B9*B8</f>
      </c>
    </row>
    <row r="12" spans="1:3" x14ac:dyDescent="0.25">
      <c r="A12" s="3" t="s">
        <v>55</v>
      </c>
      <c r="B12" s="4"/>
      <c r="C12" t="s">
        <v>56</v>
      </c>
    </row>
    <row r="13" spans="1:4" x14ac:dyDescent="0.25">
      <c r="A13" s="3" t="s">
        <v>57</v>
      </c>
      <c r="B13" s="5"/>
      <c r="C13" t="s">
        <v>58</v>
      </c>
      <c r="D13" t="s">
        <v>47</v>
      </c>
    </row>
    <row r="14" spans="1:3" x14ac:dyDescent="0.25">
      <c r="A14" s="3" t="s">
        <v>59</v>
      </c>
      <c r="B14" s="5"/>
      <c r="C14" t="s">
        <v>60</v>
      </c>
    </row>
    <row r="15" spans="1:2" x14ac:dyDescent="0.25">
      <c r="A15" t="s">
        <v>61</v>
      </c>
      <c r="B15" s="4">
        <f>IF(B13+B14&lt;&gt;0,((B13/(B13+B14))*B11)+((B14/(B13+B14))*B12*B7), 0)</f>
      </c>
    </row>
    <row r="16" spans="1:2" x14ac:dyDescent="0.25">
      <c r="A16" t="s">
        <v>62</v>
      </c>
      <c r="B16" s="4">
        <f>IF(B4-NOW()&gt;=0, MIN(YEARFRAC(NOW(),B4),1), 0)</f>
      </c>
    </row>
    <row r="17" spans="1:2" x14ac:dyDescent="0.25">
      <c r="A17" t="s">
        <v>63</v>
      </c>
      <c r="B17" s="5">
        <f>INDIRECT(CONCATENATE("Financials!", ADDRESS(B3, LOOKUP(2,1/(Financials!1:1=YEAR(TODAY())),COLUMN(Financials!1:1)))))*B16*1</f>
      </c>
    </row>
    <row r="18" spans="1:2" x14ac:dyDescent="0.25">
      <c r="A18" t="s">
        <v>64</v>
      </c>
      <c r="B18" s="5">
        <f>IF(B15-B6&gt;0, ((LOOKUP(2,1/(INDIRECT(CONCATENATE("Financials!",B3,":",B3))&lt;&gt;""),1000000*INDIRECT(CONCATENATE("Financials!",B3,":",B3)))*(1+B6))/(B15-B6))/(1+B15)^(LOOKUP(2,1/(INDIRECT(CONCATENATE("Financials!",B3,":",B3))&lt;&gt;""),COLUMN(INDIRECT(CONCATENATE("Financials!",B3,":",B3))))-LOOKUP(2,1/(Financials!1:1=YEAR(TODAY())),COLUMN(Financials!1:1))), "ERROR: TGR must be below WACC in order to converge")</f>
      </c>
    </row>
    <row r="19" spans="1:2" x14ac:dyDescent="0.25">
      <c r="A19" t="s">
        <v>65</v>
      </c>
      <c r="B19" s="5">
        <f>IF(B18&lt;&gt; "ERROR: TGR must be below WACC in order to converge", B18+B17/(1+((1+B15)^(1/365)-1))^(B4-NOW())+NPV(B15, INDIRECT(ADDRESS(B3, LOOKUP(2,1/(Financials!1:1=YEAR(TODAY())+1),COLUMN(Financials!1:1))))*((B4+365-NOW())/365),INDIRECT(CONCATENATE("Financials!", ADDRESS(B3, LOOKUP(2,1/(Financials!1:1=YEAR(TODAY())+2),COLUMN(Financials!1:1))), ":", ADDRESS(B3, LOOKUP(2,1/(INDIRECT(CONCATENATE("Financials!",B3,":",B3))&lt;&gt;""),COLUMN(INDIRECT(CONCATENATE("Financials!",B3,":",B3))))))))/(1+((1+B15)^(1/365)-1))^(B4+365- NOW())*1,  " ")</f>
      </c>
    </row>
    <row r="20" spans="1:3" x14ac:dyDescent="0.25">
      <c r="A20" s="6" t="s">
        <v>66</v>
      </c>
      <c r="B20" s="5"/>
      <c r="C20" t="s">
        <v>67</v>
      </c>
    </row>
    <row r="21" spans="1:4" x14ac:dyDescent="0.25">
      <c r="A21" s="3" t="s">
        <v>68</v>
      </c>
      <c r="B21" s="5"/>
      <c r="C21" t="s">
        <v>58</v>
      </c>
      <c r="D21" t="s">
        <v>47</v>
      </c>
    </row>
    <row r="22" spans="1:2" x14ac:dyDescent="0.25">
      <c r="A22" t="s">
        <v>69</v>
      </c>
      <c r="B22" s="7">
        <f>IF(AND(COUNT(B19,B20,B21)&gt;0,B21&lt;&gt;0),(B19+B20)/B21," ")</f>
      </c>
    </row>
  </sheetData>
  <hyperlinks>
    <hyperlink ref="D8" r:id="rId1"/>
    <hyperlink ref="D9" r:id="rId2"/>
    <hyperlink ref="D10" r:id="rId3"/>
    <hyperlink ref="D13" r:id="rId4"/>
    <hyperlink ref="D21" r:id="rId5"/>
  </hyperlink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Financials</vt:lpstr>
      <vt:lpstr>Present Value of a Share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Abel Witz</dc:creator>
  <dc:title/>
  <dc:subject/>
  <dc:description/>
  <cp:keywords/>
  <cp:category/>
  <cp:lastModifiedBy>Abel Witz</cp:lastModifiedBy>
  <cp:lastPrinted>2023-12-24T00:48:16Z</cp:lastPrinted>
  <dcterms:created xsi:type="dcterms:W3CDTF">2023-12-24T00:48:16Z</dcterms:created>
  <dcterms:modified xsi:type="dcterms:W3CDTF">2023-12-24T00:48:16Z</dcterms:modified>
</cp:coreProperties>
</file>