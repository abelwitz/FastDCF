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<sst xmlns="http://schemas.openxmlformats.org/spreadsheetml/2006/main" count="72" uniqueCount="69">
  <si>
    <t>(in thousands)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</si>
  <si>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</si>
  <si>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</si>
  <si>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</si>
  <si>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</si>
  <si>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</si>
  <si>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</si>
  <si>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</si>
  <si>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</si>
  <si>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</si>
  <si>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</si>
  <si>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</si>
  <si>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</si>
  <si>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</si>
  <si>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</si>
  <si>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</si>
  <si>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</si>
  <si>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</si>
  <si>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</si>
  <si>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</si>
  <si>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</si>
  <si>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</si>
  <si>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</si>
  <si>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</si>
  <si>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</si>
  <si>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</si>
  <si>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</si>
  <si>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</si>
  <si>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</si>
  <si>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</si>
  <si>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</si>
  <si>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</si>
  <si>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</si>
  <si>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</si>
  <si>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</si>
  <si>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</si>
  <si>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(in nominal terms)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</si>
  <si>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</si>
  <si>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</si>
  <si>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</si>
  <si>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</si>
  <si>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</si>
  <si>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</si>
  <si>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</si>
  <si>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</si>
  <si>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</si>
  <si>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https://finance.yahoo.com/quote/AUTO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</si>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</sst>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AUTO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AUTO" TargetMode="External"/><Relationship Id="rId5" Type="http://schemas.openxmlformats.org/officeDocument/2006/relationships/hyperlink" Target="https://finance.yahoo.com/quote/AUT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19502</v>
      </c>
      <c r="C2" s="3">
        <v>6385</v>
      </c>
      <c r="D2" s="3">
        <v>8089</v>
      </c>
      <c r="E2" s="3">
        <v>8089</v>
      </c>
      <c r="F2" s="3">
        <v>10404</v>
      </c>
      <c r="G2" s="3">
        <v>14474</v>
      </c>
      <c r="H2" s="3">
        <v>109407</v>
      </c>
      <c r="I2" s="3">
        <v>107491</v>
      </c>
      <c r="J2" s="3">
        <v>106955</v>
      </c>
      <c r="K2" s="3">
        <v>96934</v>
      </c>
      <c r="L2" s="3">
        <v>58750</v>
      </c>
      <c r="M2" s="3">
        <v>71585</v>
      </c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>
        <v>0</v>
      </c>
      <c r="G3" s="3">
        <v>0</v>
      </c>
      <c r="H3" s="3">
        <v>98771</v>
      </c>
      <c r="I3" s="3">
        <v>99352</v>
      </c>
      <c r="J3" s="3">
        <v>101315</v>
      </c>
      <c r="K3" s="3">
        <v>91412</v>
      </c>
      <c r="L3" s="3">
        <v>52890</v>
      </c>
      <c r="M3" s="3">
        <v>51254</v>
      </c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23351</v>
      </c>
      <c r="C6" s="3">
        <v>16893</v>
      </c>
      <c r="D6" s="3">
        <v>16388</v>
      </c>
      <c r="E6" s="3">
        <v>19166</v>
      </c>
      <c r="F6" s="3">
        <v>25942</v>
      </c>
      <c r="G6" s="3">
        <v>29145</v>
      </c>
      <c r="H6" s="3">
        <v>32731</v>
      </c>
      <c r="I6" s="3">
        <v>26316</v>
      </c>
      <c r="J6" s="3">
        <v>28496</v>
      </c>
      <c r="K6" s="3">
        <v>24687</v>
      </c>
      <c r="L6" s="3">
        <v>20919</v>
      </c>
      <c r="M6" s="3">
        <v>20494</v>
      </c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5123</v>
      </c>
      <c r="C7" s="3">
        <v>8365</v>
      </c>
      <c r="D7" s="3">
        <v>8292</v>
      </c>
      <c r="E7" s="3">
        <v>8437</v>
      </c>
      <c r="F7" s="3">
        <v>9729</v>
      </c>
      <c r="G7" s="3">
        <v>14738</v>
      </c>
      <c r="H7" s="3">
        <v>19054</v>
      </c>
      <c r="I7" s="3">
        <v>55036</v>
      </c>
      <c r="J7" s="3">
        <v>25836</v>
      </c>
      <c r="K7" s="3">
        <v>13220</v>
      </c>
      <c r="L7" s="3">
        <v>8285</v>
      </c>
      <c r="M7" s="3">
        <v>6302</v>
      </c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590</v>
      </c>
      <c r="C10" s="3">
        <v>40</v>
      </c>
      <c r="D10" s="3">
        <v>139</v>
      </c>
      <c r="E10" s="3">
        <v>237</v>
      </c>
      <c r="F10" s="3">
        <v>-694</v>
      </c>
      <c r="G10" s="3">
        <v>322</v>
      </c>
      <c r="H10" s="3">
        <v>558</v>
      </c>
      <c r="I10" s="3">
        <v>-946</v>
      </c>
      <c r="J10" s="3">
        <v>250</v>
      </c>
      <c r="K10" s="3">
        <v>119</v>
      </c>
      <c r="L10" s="3">
        <v>-1524</v>
      </c>
      <c r="M10" s="3">
        <v>0</v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0</v>
      </c>
      <c r="C12" s="3">
        <v>19533</v>
      </c>
      <c r="D12" s="3">
        <v>52946</v>
      </c>
      <c r="E12" s="3">
        <v>20363</v>
      </c>
      <c r="F12" s="3">
        <v>29115</v>
      </c>
      <c r="G12" s="3">
        <v>33906</v>
      </c>
      <c r="H12" s="3">
        <v>43728</v>
      </c>
      <c r="I12" s="3">
        <v>33758</v>
      </c>
      <c r="J12" s="3">
        <v>43151</v>
      </c>
      <c r="K12" s="3">
        <v>29099</v>
      </c>
      <c r="L12" s="3">
        <v>23941</v>
      </c>
      <c r="M12" s="3">
        <v>806</v>
      </c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182</v>
      </c>
      <c r="C16" s="3">
        <v>349</v>
      </c>
      <c r="D16" s="3">
        <v>344</v>
      </c>
      <c r="E16" s="3">
        <v>-35064</v>
      </c>
      <c r="F16" s="3">
        <v>2037</v>
      </c>
      <c r="G16" s="3">
        <v>3433</v>
      </c>
      <c r="H16" s="3">
        <v>2815</v>
      </c>
      <c r="I16" s="3">
        <v>25439</v>
      </c>
      <c r="J16" s="3">
        <v>-6</v>
      </c>
      <c r="K16" s="3">
        <v>10</v>
      </c>
      <c r="L16" s="3">
        <v>10</v>
      </c>
      <c r="M16" s="3">
        <v>0</v>
      </c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>
        <v>0</v>
      </c>
      <c r="J17" s="3">
        <v>0</v>
      </c>
      <c r="K17" s="3">
        <v>0</v>
      </c>
      <c r="L17" s="3">
        <v>0</v>
      </c>
      <c r="M17" s="3">
        <v>0</v>
      </c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>
        <v>0</v>
      </c>
      <c r="J18" s="3">
        <v>0</v>
      </c>
      <c r="K18" s="3">
        <v>0</v>
      </c>
      <c r="L18" s="3">
        <v>0</v>
      </c>
      <c r="M18" s="3">
        <v>0</v>
      </c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>
        <v>0</v>
      </c>
      <c r="J19" s="3">
        <v>0</v>
      </c>
      <c r="K19" s="3">
        <v>0</v>
      </c>
      <c r="L19" s="3">
        <v>0</v>
      </c>
      <c r="M19" s="3">
        <v>0</v>
      </c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1365</v>
      </c>
      <c r="C22" s="3">
        <v>2106</v>
      </c>
      <c r="D22" s="3">
        <v>2162</v>
      </c>
      <c r="E22" s="3">
        <v>1875</v>
      </c>
      <c r="F22" s="3">
        <v>2227</v>
      </c>
      <c r="G22" s="3">
        <v>4021</v>
      </c>
      <c r="H22" s="3">
        <v>7303</v>
      </c>
      <c r="I22" s="3">
        <v>7653</v>
      </c>
      <c r="J22" s="3">
        <v>8544</v>
      </c>
      <c r="K22" s="3">
        <v>6454</v>
      </c>
      <c r="L22" s="3">
        <v>1711</v>
      </c>
      <c r="M22" s="3">
        <v>653</v>
      </c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1101</v>
      </c>
      <c r="C23" s="3">
        <v>1022</v>
      </c>
      <c r="D23" s="3">
        <v>915</v>
      </c>
      <c r="E23" s="3">
        <v>706</v>
      </c>
      <c r="F23" s="3">
        <v>1426</v>
      </c>
      <c r="G23" s="3">
        <v>2566</v>
      </c>
      <c r="H23" s="3">
        <v>4427</v>
      </c>
      <c r="I23" s="3">
        <v>4106</v>
      </c>
      <c r="J23" s="3">
        <v>4867</v>
      </c>
      <c r="K23" s="3">
        <v>2402</v>
      </c>
      <c r="L23" s="3">
        <v>1984</v>
      </c>
      <c r="M23" s="3">
        <v>1854</v>
      </c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1752</v>
      </c>
      <c r="C24" s="3">
        <v>-1275</v>
      </c>
      <c r="D24" s="3">
        <v>-33421</v>
      </c>
      <c r="E24" s="3">
        <v>-34399</v>
      </c>
      <c r="F24" s="3">
        <v>3120</v>
      </c>
      <c r="G24" s="3">
        <v>4227</v>
      </c>
      <c r="H24" s="3">
        <v>6190</v>
      </c>
      <c r="I24" s="3">
        <v>65569</v>
      </c>
      <c r="J24" s="3">
        <v>-11046</v>
      </c>
      <c r="K24" s="3">
        <v>-15096</v>
      </c>
      <c r="L24" s="3">
        <v>-857</v>
      </c>
      <c r="M24" s="3">
        <v>1736</v>
      </c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1797</v>
      </c>
      <c r="C26" s="3">
        <v>642</v>
      </c>
      <c r="D26" s="3">
        <v>772</v>
      </c>
      <c r="E26" s="3">
        <v>670</v>
      </c>
      <c r="F26" s="3">
        <v>1124</v>
      </c>
      <c r="G26" s="3">
        <v>2719</v>
      </c>
      <c r="H26" s="3">
        <v>2148</v>
      </c>
      <c r="I26" s="3">
        <v>1799</v>
      </c>
      <c r="J26" s="3">
        <v>896</v>
      </c>
      <c r="K26" s="3">
        <v>1640</v>
      </c>
      <c r="L26" s="3">
        <v>596</v>
      </c>
      <c r="M26" s="3">
        <v>1719</v>
      </c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1733</v>
      </c>
      <c r="C36" s="3">
        <v>1629</v>
      </c>
      <c r="D36" s="3">
        <v>1593</v>
      </c>
      <c r="E36" s="3">
        <v>1548</v>
      </c>
      <c r="F36" s="3">
        <v>1904</v>
      </c>
      <c r="G36" s="3">
        <v>4296</v>
      </c>
      <c r="H36" s="3">
        <v>4430</v>
      </c>
      <c r="I36" s="3">
        <v>4311</v>
      </c>
      <c r="J36" s="3">
        <v>3181</v>
      </c>
      <c r="K36" s="3">
        <v>3349</v>
      </c>
      <c r="L36" s="3">
        <v>2953</v>
      </c>
      <c r="M36" s="3">
        <v>3853</v>
      </c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37832</v>
      </c>
      <c r="C37" s="3">
        <v>38794</v>
      </c>
      <c r="D37" s="3">
        <v>40767</v>
      </c>
      <c r="E37" s="3">
        <v>88193</v>
      </c>
      <c r="F37" s="3">
        <v>104749</v>
      </c>
      <c r="G37" s="3">
        <v>153588</v>
      </c>
      <c r="H37" s="3">
        <v>165281</v>
      </c>
      <c r="I37" s="3">
        <v>92913</v>
      </c>
      <c r="J37" s="3">
        <v>57416</v>
      </c>
      <c r="K37" s="3">
        <v>44904</v>
      </c>
      <c r="L37" s="3">
        <v>41129</v>
      </c>
      <c r="M37" s="3">
        <v>35132</v>
      </c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14729</v>
      </c>
      <c r="C38" s="3">
        <v>13898</v>
      </c>
      <c r="D38" s="3">
        <v>15002</v>
      </c>
      <c r="E38" s="3">
        <v>23365</v>
      </c>
      <c r="F38" s="3">
        <v>35491</v>
      </c>
      <c r="G38" s="3">
        <v>45387</v>
      </c>
      <c r="H38" s="3">
        <v>45672</v>
      </c>
      <c r="I38" s="3">
        <v>25746</v>
      </c>
      <c r="J38" s="3">
        <v>23901</v>
      </c>
      <c r="K38" s="3">
        <v>23808</v>
      </c>
      <c r="L38" s="3">
        <v>24794</v>
      </c>
      <c r="M38" s="3">
        <v>22375</v>
      </c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>
        <f>I37-I38</f>
      </c>
      <c r="J39" s="3">
        <f>J37-J38</f>
      </c>
      <c r="K39" s="3">
        <f>K37-K38</f>
      </c>
      <c r="L39" s="3">
        <f>L37-L38</f>
      </c>
      <c r="M39" s="3">
        <f>M37-M38</f>
      </c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36</v>
      </c>
    </row>
    <row r="3" spans="1:3" x14ac:dyDescent="0.25">
      <c r="A3" t="s">
        <v>37</v>
      </c>
      <c r="B3">
        <f>MATCH("Free Cash Flow to Firm", Financials!A:A, 0)</f>
      </c>
      <c r="C3" t="s">
        <v>38</v>
      </c>
    </row>
    <row r="4" spans="1:2" x14ac:dyDescent="0.25">
      <c r="A4" t="s">
        <v>39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40</v>
      </c>
      <c r="B6" s="4"/>
      <c r="C6" t="s">
        <v>41</v>
      </c>
    </row>
    <row r="7" spans="1:3" x14ac:dyDescent="0.25">
      <c r="A7" s="2" t="s">
        <v>42</v>
      </c>
      <c r="B7" s="4"/>
      <c r="C7" t="s">
        <v>43</v>
      </c>
    </row>
    <row r="8" spans="1:4" x14ac:dyDescent="0.25">
      <c r="A8" s="2" t="s">
        <v>44</v>
      </c>
      <c r="C8" t="s">
        <v>45</v>
      </c>
      <c r="D8" t="s">
        <v>46</v>
      </c>
    </row>
    <row r="9" spans="1:4" x14ac:dyDescent="0.25">
      <c r="A9" s="2" t="s">
        <v>47</v>
      </c>
      <c r="B9" s="4"/>
      <c r="C9" t="s">
        <v>48</v>
      </c>
      <c r="D9" t="s">
        <v>49</v>
      </c>
    </row>
    <row r="10" spans="1:4" x14ac:dyDescent="0.25">
      <c r="A10" s="2" t="s">
        <v>50</v>
      </c>
      <c r="B10" s="4"/>
      <c r="C10" t="s">
        <v>51</v>
      </c>
      <c r="D10" t="s">
        <v>52</v>
      </c>
    </row>
    <row r="11" spans="1:2" x14ac:dyDescent="0.25">
      <c r="A11" s="2" t="s">
        <v>53</v>
      </c>
      <c r="B11" s="4">
        <f>B10+B9*B8</f>
      </c>
    </row>
    <row r="12" spans="1:3" x14ac:dyDescent="0.25">
      <c r="A12" s="2" t="s">
        <v>54</v>
      </c>
      <c r="B12" s="4"/>
      <c r="C12" t="s">
        <v>55</v>
      </c>
    </row>
    <row r="13" spans="1:4" x14ac:dyDescent="0.25">
      <c r="A13" s="2" t="s">
        <v>56</v>
      </c>
      <c r="B13" s="3"/>
      <c r="C13" t="s">
        <v>57</v>
      </c>
      <c r="D13" t="s">
        <v>46</v>
      </c>
    </row>
    <row r="14" spans="1:3" x14ac:dyDescent="0.25">
      <c r="A14" s="2" t="s">
        <v>58</v>
      </c>
      <c r="B14" s="3"/>
      <c r="C14" t="s">
        <v>59</v>
      </c>
    </row>
    <row r="15" spans="1:2" x14ac:dyDescent="0.25">
      <c r="A15" t="s">
        <v>60</v>
      </c>
      <c r="B15" s="4">
        <f>IF(B13+B14&lt;&gt;0,((B13/(B13+B14))*B11)+((B14/(B13+B14))*B12*B7), 0)</f>
      </c>
    </row>
    <row r="16" spans="1:2" x14ac:dyDescent="0.25">
      <c r="A16" t="s">
        <v>61</v>
      </c>
      <c r="B16" s="4">
        <f>IF(B4-NOW()&gt;=0, MIN(YEARFRAC(NOW(),B4),1), 0)</f>
      </c>
    </row>
    <row r="17" spans="1:2" x14ac:dyDescent="0.25">
      <c r="A17" t="s">
        <v>62</v>
      </c>
      <c r="B17" s="3">
        <f>INDIRECT(CONCATENATE("Financials!", ADDRESS(B3, LOOKUP(2,1/(Financials!1:1=YEAR(TODAY())),COLUMN(Financials!1:1)))))*B16*1000</f>
      </c>
    </row>
    <row r="18" spans="1:2" x14ac:dyDescent="0.25">
      <c r="A18" t="s">
        <v>63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64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NOW())*1000,  " ")</f>
      </c>
    </row>
    <row r="20" spans="1:3" x14ac:dyDescent="0.25">
      <c r="A20" s="6" t="s">
        <v>65</v>
      </c>
      <c r="B20" s="3"/>
      <c r="C20" t="s">
        <v>66</v>
      </c>
    </row>
    <row r="21" spans="1:4" x14ac:dyDescent="0.25">
      <c r="A21" s="2" t="s">
        <v>67</v>
      </c>
      <c r="B21" s="3"/>
      <c r="C21" t="s">
        <v>57</v>
      </c>
      <c r="D21" t="s">
        <v>46</v>
      </c>
    </row>
    <row r="22" spans="1:2" x14ac:dyDescent="0.25">
      <c r="A22" t="s">
        <v>68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2023-12-22T01:44:07Z</cp:lastPrinted>
  <dcterms:created xsi:type="dcterms:W3CDTF">2023-12-22T01:44:07Z</dcterms:created>
  <dcterms:modified xsi:type="dcterms:W3CDTF">2023-12-22T01:44:07Z</dcterms:modified>
</cp:coreProperties>
</file>