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<sst xmlns="http://schemas.openxmlformats.org/spreadsheetml/2006/main" count="72" uniqueCount="68">
  <si>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</si>
  <si>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</si>
  <si>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</si>
  <si>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</si>
  <si>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</si>
  <si>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</si>
  <si>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</si>
  <si>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</si>
  <si>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</si>
  <si>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</si>
  <si>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</si>
  <si>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</si>
  <si>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</si>
  <si>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</si>
  <si>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</si>
  <si>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</si>
  <si>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</si>
  <si>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</si>
  <si>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</si>
  <si>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</si>
  <si>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</si>
  <si>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</si>
  <si>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</si>
  <si>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</si>
  <si>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</si>
  <si>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</si>
  <si>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</si>
  <si>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</si>
  <si>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</si>
  <si>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</si>
  <si>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</si>
  <si>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</si>
  <si>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</si>
  <si>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</si>
  <si>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</si>
  <si>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</si>
  <si>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</si>
  <si>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</si>
  <si>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</si>
  <si>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</si>
  <si>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</si>
  <si>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</si>
  <si>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</si>
  <si>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</si>
  <si>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</si>
  <si>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https://finance.yahoo.com/quote/ARAO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</si>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</sst>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A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AO" TargetMode="External"/><Relationship Id="rId5" Type="http://schemas.openxmlformats.org/officeDocument/2006/relationships/hyperlink" Target="https://finance.yahoo.com/quote/ARA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454820</v>
      </c>
      <c r="G2" s="3">
        <v>519168</v>
      </c>
      <c r="H2" s="3">
        <v>0</v>
      </c>
      <c r="I2" s="3">
        <v>0</v>
      </c>
      <c r="J2" s="3">
        <v>0</v>
      </c>
      <c r="K2" s="3">
        <v>0</v>
      </c>
      <c r="L2" s="3">
        <v>35000</v>
      </c>
      <c r="M2" s="3">
        <v>0</v>
      </c>
      <c r="N2" s="3">
        <v>0</v>
      </c>
      <c r="O2" s="3">
        <v>120500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222189</v>
      </c>
      <c r="G3" s="3">
        <v>444149</v>
      </c>
      <c r="H3" s="3">
        <v>0</v>
      </c>
      <c r="I3" s="3">
        <v>0</v>
      </c>
      <c r="J3" s="3">
        <v>0</v>
      </c>
      <c r="K3" s="3">
        <v>0</v>
      </c>
      <c r="L3" s="3">
        <v>5316</v>
      </c>
      <c r="M3" s="3">
        <v>0</v>
      </c>
      <c r="N3" s="3">
        <v>0</v>
      </c>
      <c r="O3" s="3">
        <v>92732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1291783</v>
      </c>
      <c r="D6" s="3">
        <v>1431385</v>
      </c>
      <c r="E6" s="3">
        <v>1282648</v>
      </c>
      <c r="F6" s="3">
        <v>1539920</v>
      </c>
      <c r="G6" s="3">
        <v>1431572</v>
      </c>
      <c r="H6" s="3">
        <v>1177998</v>
      </c>
      <c r="I6" s="3">
        <v>973536</v>
      </c>
      <c r="J6" s="3">
        <v>1314708</v>
      </c>
      <c r="K6" s="3">
        <v>1118751</v>
      </c>
      <c r="L6" s="3">
        <v>682897</v>
      </c>
      <c r="M6" s="3">
        <v>620129</v>
      </c>
      <c r="N6" s="3">
        <v>772893</v>
      </c>
      <c r="O6" s="3">
        <v>574847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2240285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15459</v>
      </c>
      <c r="D12" s="3">
        <v>38879</v>
      </c>
      <c r="E12" s="3">
        <v>-1276583</v>
      </c>
      <c r="F12" s="3">
        <v>-1541089</v>
      </c>
      <c r="G12" s="3">
        <v>1608215</v>
      </c>
      <c r="H12" s="3">
        <v>-20428</v>
      </c>
      <c r="I12" s="3">
        <v>2153266</v>
      </c>
      <c r="J12" s="3">
        <v>-228470</v>
      </c>
      <c r="K12" s="3">
        <v>-204765</v>
      </c>
      <c r="L12" s="3">
        <v>-242879</v>
      </c>
      <c r="M12" s="3">
        <v>-306690</v>
      </c>
      <c r="N12" s="3">
        <v>-356804</v>
      </c>
      <c r="O12" s="3">
        <v>-476601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5817</v>
      </c>
      <c r="D22" s="3">
        <v>24219</v>
      </c>
      <c r="E22" s="3">
        <v>71175</v>
      </c>
      <c r="F22" s="3">
        <v>160835</v>
      </c>
      <c r="G22" s="3">
        <v>155533</v>
      </c>
      <c r="H22" s="3">
        <v>123734</v>
      </c>
      <c r="I22" s="3">
        <v>5602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1298361</v>
      </c>
      <c r="C23" s="3">
        <v>0</v>
      </c>
      <c r="D23" s="3">
        <v>247000</v>
      </c>
      <c r="E23" s="3">
        <v>0</v>
      </c>
      <c r="F23" s="3">
        <v>175000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941924</v>
      </c>
      <c r="C24" s="3">
        <v>-33118</v>
      </c>
      <c r="D24" s="3">
        <v>254157</v>
      </c>
      <c r="E24" s="3">
        <v>1161918</v>
      </c>
      <c r="F24" s="3">
        <v>1639047</v>
      </c>
      <c r="G24" s="3">
        <v>-1018274</v>
      </c>
      <c r="H24" s="3">
        <v>170802</v>
      </c>
      <c r="I24" s="3">
        <v>-1253606</v>
      </c>
      <c r="J24" s="3">
        <v>1361080</v>
      </c>
      <c r="K24" s="3">
        <v>896613</v>
      </c>
      <c r="L24" s="3">
        <v>764759</v>
      </c>
      <c r="M24" s="3">
        <v>885277</v>
      </c>
      <c r="N24" s="3">
        <v>1085247</v>
      </c>
      <c r="O24" s="3">
        <v>947346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196134</v>
      </c>
      <c r="D26" s="3">
        <v>371832</v>
      </c>
      <c r="E26" s="3">
        <v>160300</v>
      </c>
      <c r="F26" s="3">
        <v>9231</v>
      </c>
      <c r="G26" s="3">
        <v>0</v>
      </c>
      <c r="H26" s="3">
        <v>0</v>
      </c>
      <c r="I26" s="3">
        <v>915</v>
      </c>
      <c r="J26" s="3">
        <v>0</v>
      </c>
      <c r="K26" s="3">
        <v>0</v>
      </c>
      <c r="L26" s="3">
        <v>0</v>
      </c>
      <c r="M26" s="3">
        <v>-5481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73862</v>
      </c>
      <c r="D36" s="3">
        <v>415355</v>
      </c>
      <c r="E36" s="3">
        <v>445704</v>
      </c>
      <c r="F36" s="3">
        <v>284869</v>
      </c>
      <c r="G36" s="3">
        <v>129336</v>
      </c>
      <c r="H36" s="3">
        <v>5602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1547283</v>
      </c>
      <c r="D37" s="3">
        <v>1645605</v>
      </c>
      <c r="E37" s="3">
        <v>2025311</v>
      </c>
      <c r="F37" s="3">
        <v>1911252</v>
      </c>
      <c r="G37" s="3">
        <v>1399546</v>
      </c>
      <c r="H37" s="3">
        <v>1234733</v>
      </c>
      <c r="I37" s="3">
        <v>1256409</v>
      </c>
      <c r="J37" s="3">
        <v>775761</v>
      </c>
      <c r="K37" s="3">
        <v>58161</v>
      </c>
      <c r="L37" s="3">
        <v>86805</v>
      </c>
      <c r="M37" s="3">
        <v>95998</v>
      </c>
      <c r="N37" s="3">
        <v>10844</v>
      </c>
      <c r="O37" s="3">
        <v>115541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13522</v>
      </c>
      <c r="D38" s="3">
        <v>170234</v>
      </c>
      <c r="E38" s="3">
        <v>1574603</v>
      </c>
      <c r="F38" s="3">
        <v>1652869</v>
      </c>
      <c r="G38" s="3">
        <v>1982023</v>
      </c>
      <c r="H38" s="3">
        <v>2690612</v>
      </c>
      <c r="I38" s="3">
        <v>3439332</v>
      </c>
      <c r="J38" s="3">
        <v>3705460</v>
      </c>
      <c r="K38" s="3">
        <v>3934421</v>
      </c>
      <c r="L38" s="3">
        <v>4414340</v>
      </c>
      <c r="M38" s="3">
        <v>5102508</v>
      </c>
      <c r="N38" s="3">
        <v>5798628</v>
      </c>
      <c r="O38" s="3">
        <v>6536266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D37-D38</f>
      </c>
      <c r="D39" s="3">
        <f>E37-E38</f>
      </c>
      <c r="E39" s="3">
        <f>F37-F38</f>
      </c>
      <c r="F39" s="3">
        <f>G37-G38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L37-L38</f>
      </c>
      <c r="L39" s="3">
        <f>M37-M38</f>
      </c>
      <c r="M39" s="3">
        <f>N37-N38</f>
      </c>
      <c r="N39" s="3">
        <f>O37-O38</f>
      </c>
      <c r="O39" s="3">
        <f>P37-P38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