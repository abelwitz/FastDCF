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ate1904="1" defaultThemeVersion="164011" filterPrivacy="1"/>
  <sheets>
    <sheet sheetId="1" name="Financials" state="visible" r:id="rId4"/>
    <sheet sheetId="2" name="Present Value of a Share" state="visible" r:id="rId5"/>
  </sheets>
  <calcPr calcId="171027" fullCalcOnLoad="1"/>
</workbook>
</file>

<file path=xl/sharedStrings.xml><?xml version="1.0" encoding="utf-8"?>
<sst xmlns="http://schemas.openxmlformats.org/spreadsheetml/2006/main" count="72" uniqueCount="68">
  <si>
    <t>(in nominal terms)</t>
  </si>
  <si>
    <t>Non-Interest Revenue</t>
  </si>
  <si>
    <t>Cost of Revenue</t>
  </si>
  <si>
    <t>Gross Profit</t>
  </si>
  <si>
    <t>Research and Development</t>
  </si>
  <si>
    <t>Selling, General and Administrative</t>
  </si>
  <si>
    <t>Other Operating Expenses</t>
  </si>
  <si>
    <t>Operating Expenses</t>
  </si>
  <si>
    <t>Operating Income</t>
  </si>
  <si>
    <t>Interest Income</t>
  </si>
  <si>
    <t>Interest Expense</t>
  </si>
  <si>
    <t>Other Income</t>
  </si>
  <si>
    <t>Total Other Income</t>
  </si>
  <si>
    <t>Provision for Credit Losses</t>
  </si>
  <si>
    <t>Pretax Income</t>
  </si>
  <si>
    <t>Taxes</t>
  </si>
  <si>
    <t>Discontinued operations</t>
  </si>
  <si>
    <t>Non-controlling interests</t>
  </si>
  <si>
    <t>Equity income in investee</t>
  </si>
  <si>
    <t>Net Income</t>
  </si>
  <si>
    <t>Depreciation &amp; Amortization</t>
  </si>
  <si>
    <t>Stock Based Compensation</t>
  </si>
  <si>
    <t>Other Operating Activities</t>
  </si>
  <si>
    <t>Cash Flow from Operations</t>
  </si>
  <si>
    <t>Capital Expenditures</t>
  </si>
  <si>
    <t>Free Cash Flow to Firm</t>
  </si>
  <si>
    <t>Revenue Y/Y</t>
  </si>
  <si>
    <t>Gross Margin</t>
  </si>
  <si>
    <t>Operating Margin</t>
  </si>
  <si>
    <t>Tax Rate</t>
  </si>
  <si>
    <t>Net Margin</t>
  </si>
  <si>
    <t>Free Cash Flow Y/Y</t>
  </si>
  <si>
    <t>Property, Plant and Equipment Net</t>
  </si>
  <si>
    <t>Assets</t>
  </si>
  <si>
    <t>Liabilities</t>
  </si>
  <si>
    <t>Shareholder's equity</t>
  </si>
  <si>
    <t>Free Cash Flow to Firm Row</t>
  </si>
  <si>
    <t>The row where the Free Cash Flow to Firm is located in the "Financials" sheet</t>
  </si>
  <si>
    <t>Fiscal Year End</t>
  </si>
  <si>
    <t>Terminal Growth Rate</t>
  </si>
  <si>
    <t>The constant rate at which a company is expected to grow forever</t>
  </si>
  <si>
    <t>Effective Tax Rate</t>
  </si>
  <si>
    <t>We can aproximate it by taking the average of the Tax Rate from "Financials" sheet</t>
  </si>
  <si>
    <t>Beta</t>
  </si>
  <si>
    <t>We can obtain an aproximation there (the Beta will not be cash adjusted) :</t>
  </si>
  <si>
    <t>https://finance.yahoo.com/quote/JG</t>
  </si>
  <si>
    <t>Equity Risk Premium</t>
  </si>
  <si>
    <t>We can get one there (Implied ERP) :</t>
  </si>
  <si>
    <t>https://pages.stern.nyu.edu/~adamodar/</t>
  </si>
  <si>
    <t>Risk Free Rate</t>
  </si>
  <si>
    <t>We can use the 10 Year U.S. Treasury Note Yield</t>
  </si>
  <si>
    <t>https://finance.yahoo.com/quote/%5ETNX</t>
  </si>
  <si>
    <t>Cost of Equity (CAPM)</t>
  </si>
  <si>
    <t>Cost of Debt</t>
  </si>
  <si>
    <t>We can aproximate it by taking last 10-K Interest Expense / Total Debt</t>
  </si>
  <si>
    <t>Market Cap</t>
  </si>
  <si>
    <t>We can get it there :</t>
  </si>
  <si>
    <t>Market  Value of Debt</t>
  </si>
  <si>
    <t>We can aproximate it by taking last filing's Total Debt</t>
  </si>
  <si>
    <t>Weighted Average Cost of Capital</t>
  </si>
  <si>
    <t>Fraction of the current year remaining</t>
  </si>
  <si>
    <t>Adjusted first cash flow</t>
  </si>
  <si>
    <t>Terminal Value</t>
  </si>
  <si>
    <t>Enterprise Value (in Present Value)</t>
  </si>
  <si>
    <t>Cash and Cash Equivalents + Marketable Securities - Total Debt</t>
  </si>
  <si>
    <t>We can find these values in the last filing</t>
  </si>
  <si>
    <t>Shares Outstanding</t>
  </si>
  <si>
    <t>Present Value of a Share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</si>
</sst>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#,##0;-#,##0"/>
    <numFmt numFmtId="165" formatCode="dd/mm"/>
  </numFmts>
  <fonts count="3" x14ac:knownFonts="1">
    <font>
      <color theme="1"/>
      <family val="2"/>
      <scheme val="minor"/>
      <sz val="11"/>
      <name val="Calibri"/>
    </font>
    <font>
      <i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1"/>
    <xf numFmtId="0" fontId="2" fillId="0" borderId="0" xfId="0" applyFont="1"/>
    <xf numFmtId="164" fontId="0" fillId="0" borderId="0" xfId="0" applyNumberFormat="1"/>
    <xf numFmtId="10" fontId="0" fillId="0" borderId="0" xfId="0" applyNumberFormat="1"/>
    <xf numFmtId="165" fontId="0" fillId="0" borderId="0" xfId="0" applyNumberFormat="1"/>
    <xf numFmtId="0" fontId="2" fillId="0" borderId="0" xfId="0" applyFont="1" applyAlignment="1">
      <alignment wrapText="1"/>
    </xf>
    <xf numFmtId="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hyperlink" Target="https://finance.yahoo.com/quote/JG" TargetMode="External"/><Relationship Id="rId2" Type="http://schemas.openxmlformats.org/officeDocument/2006/relationships/hyperlink" Target="https://pages.stern.nyu.edu/~adamodar/" TargetMode="External"/><Relationship Id="rId3" Type="http://schemas.openxmlformats.org/officeDocument/2006/relationships/hyperlink" Target="https://finance.yahoo.com/quote/%5ETNX" TargetMode="External"/><Relationship Id="rId4" Type="http://schemas.openxmlformats.org/officeDocument/2006/relationships/hyperlink" Target="https://finance.yahoo.com/quote/JG" TargetMode="External"/><Relationship Id="rId5" Type="http://schemas.openxmlformats.org/officeDocument/2006/relationships/hyperlink" Target="https://finance.yahoo.com/quote/JG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Z39"/>
  <sheetFormatPr defaultRowHeight="15" outlineLevelRow="0" outlineLevelCol="0" x14ac:dyDescent="55"/>
  <cols>
    <col min="1" max="1" width="33" customWidth="1"/>
  </cols>
  <sheetData>
    <row r="1" spans="1:17" x14ac:dyDescent="0.25">
      <c r="A1" s="1" t="s">
        <v>0</v>
      </c>
      <c r="B1" s="2">
        <v>2018</v>
      </c>
      <c r="C1" s="2">
        <v>2019</v>
      </c>
      <c r="D1" s="2">
        <v>2020</v>
      </c>
      <c r="E1" s="2">
        <v>2021</v>
      </c>
      <c r="F1" s="2">
        <v>2022</v>
      </c>
      <c r="G1" s="2">
        <v>2023</v>
      </c>
      <c r="H1" s="2">
        <v>2024</v>
      </c>
      <c r="I1" s="2">
        <v>2025</v>
      </c>
      <c r="J1" s="2">
        <v>2026</v>
      </c>
      <c r="K1" s="2">
        <v>2027</v>
      </c>
      <c r="L1" s="2">
        <v>2028</v>
      </c>
      <c r="M1" s="2">
        <v>2029</v>
      </c>
      <c r="N1" s="2">
        <v>2030</v>
      </c>
      <c r="O1" s="2">
        <v>2031</v>
      </c>
      <c r="P1" s="2">
        <v>2032</v>
      </c>
      <c r="Q1" s="2">
        <v>2033</v>
      </c>
    </row>
    <row r="2" spans="1:17" x14ac:dyDescent="0.25">
      <c r="A2" s="2" t="s">
        <v>1</v>
      </c>
      <c r="B2" s="3">
        <v>103868000</v>
      </c>
      <c r="C2" s="3">
        <v>130205000</v>
      </c>
      <c r="D2" s="3">
        <v>72278000</v>
      </c>
      <c r="E2" s="3">
        <v>56072000</v>
      </c>
      <c r="F2" s="3">
        <v>47675000</v>
      </c>
      <c r="G2" s="3"/>
      <c r="H2" s="3"/>
      <c r="I2" s="3"/>
      <c r="J2" s="3"/>
      <c r="K2" s="3"/>
      <c r="L2" s="3"/>
      <c r="M2" s="3"/>
      <c r="N2" s="3"/>
      <c r="O2" s="3"/>
      <c r="P2" s="3"/>
      <c r="Q2" s="3"/>
    </row>
    <row r="3" spans="1:17" x14ac:dyDescent="0.25">
      <c r="A3" s="2" t="s">
        <v>2</v>
      </c>
      <c r="B3" s="3">
        <v>75205000</v>
      </c>
      <c r="C3" s="3">
        <v>93309000</v>
      </c>
      <c r="D3" s="3">
        <v>40680000</v>
      </c>
      <c r="E3" s="3">
        <v>14498000</v>
      </c>
      <c r="F3" s="3">
        <v>14942000</v>
      </c>
      <c r="G3" s="3"/>
      <c r="H3" s="3"/>
      <c r="I3" s="3"/>
      <c r="J3" s="3"/>
      <c r="K3" s="3"/>
      <c r="L3" s="3"/>
      <c r="M3" s="3"/>
      <c r="N3" s="3"/>
      <c r="O3" s="3"/>
      <c r="P3" s="3"/>
      <c r="Q3" s="3"/>
    </row>
    <row r="4" spans="1:26" x14ac:dyDescent="0.25">
      <c r="A4" s="2" t="s">
        <v>3</v>
      </c>
      <c r="B4" s="3">
        <f>B2-B3</f>
      </c>
      <c r="C4" s="3">
        <f>C2-C3</f>
      </c>
      <c r="D4" s="3">
        <f>D2-D3</f>
      </c>
      <c r="E4" s="3">
        <f>E2-E3</f>
      </c>
      <c r="F4" s="3">
        <f>F2-F3</f>
      </c>
      <c r="G4" s="3">
        <f>G2-G3</f>
      </c>
      <c r="H4" s="3">
        <f>H2-H3</f>
      </c>
      <c r="I4" s="3">
        <f>I2-I3</f>
      </c>
      <c r="J4" s="3">
        <f>J2-J3</f>
      </c>
      <c r="K4" s="3">
        <f>K2-K3</f>
      </c>
      <c r="L4" s="3">
        <f>L2-L3</f>
      </c>
      <c r="M4" s="3">
        <f>M2-M3</f>
      </c>
      <c r="N4" s="3">
        <f>N2-N3</f>
      </c>
      <c r="O4" s="3">
        <f>O2-O3</f>
      </c>
      <c r="P4" s="3">
        <f>P2-P3</f>
      </c>
      <c r="Q4" s="3">
        <f>Q2-Q3</f>
      </c>
      <c r="R4">
        <f>R2-R3</f>
      </c>
      <c r="S4">
        <f>S2-S3</f>
      </c>
      <c r="T4">
        <f>T2-T3</f>
      </c>
      <c r="U4">
        <f>U2-U3</f>
      </c>
      <c r="V4">
        <f>V2-V3</f>
      </c>
      <c r="W4">
        <f>W2-W3</f>
      </c>
      <c r="X4">
        <f>X2-X3</f>
      </c>
      <c r="Y4">
        <f>Y2-Y3</f>
      </c>
      <c r="Z4">
        <f>Z2-Z3</f>
      </c>
    </row>
    <row r="5" spans="1:17" x14ac:dyDescent="0.25">
      <c r="A5" s="2" t="s">
        <v>4</v>
      </c>
      <c r="B5" s="3">
        <v>19542000</v>
      </c>
      <c r="C5" s="3">
        <v>25316000</v>
      </c>
      <c r="D5" s="3">
        <v>26758000</v>
      </c>
      <c r="E5" s="3">
        <v>32439000</v>
      </c>
      <c r="F5" s="3">
        <v>22397000</v>
      </c>
      <c r="G5" s="3"/>
      <c r="H5" s="3"/>
      <c r="I5" s="3"/>
      <c r="J5" s="3"/>
      <c r="K5" s="3"/>
      <c r="L5" s="3"/>
      <c r="M5" s="3"/>
      <c r="N5" s="3"/>
      <c r="O5" s="3"/>
      <c r="P5" s="3"/>
      <c r="Q5" s="3"/>
    </row>
    <row r="6" spans="1:17" x14ac:dyDescent="0.25">
      <c r="A6" s="2" t="s">
        <v>5</v>
      </c>
      <c r="B6" s="3">
        <v>22615000</v>
      </c>
      <c r="C6" s="3">
        <v>32727000</v>
      </c>
      <c r="D6" s="3">
        <v>33932000</v>
      </c>
      <c r="E6" s="3">
        <v>30810000</v>
      </c>
      <c r="F6" s="3">
        <v>29538000</v>
      </c>
      <c r="G6" s="3"/>
      <c r="H6" s="3"/>
      <c r="I6" s="3"/>
      <c r="J6" s="3"/>
      <c r="K6" s="3"/>
      <c r="L6" s="3"/>
      <c r="M6" s="3"/>
      <c r="N6" s="3"/>
      <c r="O6" s="3"/>
      <c r="P6" s="3"/>
      <c r="Q6" s="3"/>
    </row>
    <row r="7" spans="1:17" x14ac:dyDescent="0.25">
      <c r="A7" s="2" t="s">
        <v>6</v>
      </c>
      <c r="B7" s="3">
        <v>0</v>
      </c>
      <c r="C7" s="3">
        <v>0</v>
      </c>
      <c r="D7" s="3">
        <v>0</v>
      </c>
      <c r="E7" s="3">
        <v>0</v>
      </c>
      <c r="F7" s="3">
        <v>0</v>
      </c>
      <c r="G7" s="3"/>
      <c r="H7" s="3"/>
      <c r="I7" s="3"/>
      <c r="J7" s="3"/>
      <c r="K7" s="3"/>
      <c r="L7" s="3"/>
      <c r="M7" s="3"/>
      <c r="N7" s="3"/>
      <c r="O7" s="3"/>
      <c r="P7" s="3"/>
      <c r="Q7" s="3"/>
    </row>
    <row r="8" spans="1:26" x14ac:dyDescent="0.25">
      <c r="A8" s="2" t="s">
        <v>7</v>
      </c>
      <c r="B8" s="3">
        <f>B5+B6+B7</f>
      </c>
      <c r="C8" s="3">
        <f>C5+C6+C7</f>
      </c>
      <c r="D8" s="3">
        <f>D5+D6+D7</f>
      </c>
      <c r="E8" s="3">
        <f>E5+E6+E7</f>
      </c>
      <c r="F8" s="3">
        <f>F5+F6+F7</f>
      </c>
      <c r="G8" s="3">
        <f>G5+G6+G7</f>
      </c>
      <c r="H8" s="3">
        <f>H5+H6+H7</f>
      </c>
      <c r="I8" s="3">
        <f>I5+I6+I7</f>
      </c>
      <c r="J8" s="3">
        <f>J5+J6+J7</f>
      </c>
      <c r="K8" s="3">
        <f>K5+K6+K7</f>
      </c>
      <c r="L8" s="3">
        <f>L5+L6+L7</f>
      </c>
      <c r="M8" s="3">
        <f>M5+M6+M7</f>
      </c>
      <c r="N8" s="3">
        <f>N5+N6+N7</f>
      </c>
      <c r="O8" s="3">
        <f>O5+O6+O7</f>
      </c>
      <c r="P8" s="3">
        <f>P5+P6+P7</f>
      </c>
      <c r="Q8" s="3">
        <f>Q5+Q6+Q7</f>
      </c>
      <c r="R8">
        <f>R5+R6+R7</f>
      </c>
      <c r="S8">
        <f>S5+S6+S7</f>
      </c>
      <c r="T8">
        <f>T5+T6+T7</f>
      </c>
      <c r="U8">
        <f>U5+U6+U7</f>
      </c>
      <c r="V8">
        <f>V5+V6+V7</f>
      </c>
      <c r="W8">
        <f>W5+W6+W7</f>
      </c>
      <c r="X8">
        <f>X5+X6+X7</f>
      </c>
      <c r="Y8">
        <f>Y5+Y6+Y7</f>
      </c>
      <c r="Z8">
        <f>Z5+Z6+Z7</f>
      </c>
    </row>
    <row r="9" spans="1:26" x14ac:dyDescent="0.25">
      <c r="A9" s="2" t="s">
        <v>8</v>
      </c>
      <c r="B9" s="3">
        <f>B4-B8</f>
      </c>
      <c r="C9" s="3">
        <f>C4-C8</f>
      </c>
      <c r="D9" s="3">
        <f>D4-D8</f>
      </c>
      <c r="E9" s="3">
        <f>E4-E8</f>
      </c>
      <c r="F9" s="3">
        <f>F4-F8</f>
      </c>
      <c r="G9" s="3">
        <f>G4-G8</f>
      </c>
      <c r="H9" s="3">
        <f>H4-H8</f>
      </c>
      <c r="I9" s="3">
        <f>I4-I8</f>
      </c>
      <c r="J9" s="3">
        <f>J4-J8</f>
      </c>
      <c r="K9" s="3">
        <f>K4-K8</f>
      </c>
      <c r="L9" s="3">
        <f>L4-L8</f>
      </c>
      <c r="M9" s="3">
        <f>M4-M8</f>
      </c>
      <c r="N9" s="3">
        <f>N4-N8</f>
      </c>
      <c r="O9" s="3">
        <f>O4-O8</f>
      </c>
      <c r="P9" s="3">
        <f>P4-P8</f>
      </c>
      <c r="Q9" s="3">
        <f>Q4-Q8</f>
      </c>
      <c r="R9">
        <f>R4-R8</f>
      </c>
      <c r="S9">
        <f>S4-S8</f>
      </c>
      <c r="T9">
        <f>T4-T8</f>
      </c>
      <c r="U9">
        <f>U4-U8</f>
      </c>
      <c r="V9">
        <f>V4-V8</f>
      </c>
      <c r="W9">
        <f>W4-W8</f>
      </c>
      <c r="X9">
        <f>X4-X8</f>
      </c>
      <c r="Y9">
        <f>Y4-Y8</f>
      </c>
      <c r="Z9">
        <f>Z4-Z8</f>
      </c>
    </row>
    <row r="10" spans="1:26" x14ac:dyDescent="0.25">
      <c r="A10" s="2" t="s">
        <v>9</v>
      </c>
      <c r="B10" s="3">
        <v>532000</v>
      </c>
      <c r="C10" s="3">
        <v>905000</v>
      </c>
      <c r="D10" s="3">
        <v>940000</v>
      </c>
      <c r="E10" s="3">
        <v>1035000</v>
      </c>
      <c r="F10" s="3">
        <v>337000</v>
      </c>
      <c r="G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H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I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J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K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L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M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N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O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P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Q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R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S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T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U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V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W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X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Y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Z10">
        <f>IF(TRUE, 0, "Don't change this value, we are computing the Enterprise Value as if the firm had no cash since we are adding it back further in the calculation. More info: https://pages.stern.nyu.edu/~adamodar/New_Home_Page/lectures/cash.htm")</f>
      </c>
    </row>
    <row r="11" spans="1:17" x14ac:dyDescent="0.25">
      <c r="A11" s="2" t="s">
        <v>10</v>
      </c>
      <c r="B11" s="3">
        <v>1026000</v>
      </c>
      <c r="C11" s="3">
        <v>1597000</v>
      </c>
      <c r="D11" s="3">
        <v>1797000</v>
      </c>
      <c r="E11" s="3">
        <v>1383000</v>
      </c>
      <c r="F11" s="3">
        <v>455000</v>
      </c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</row>
    <row r="12" spans="1:17" x14ac:dyDescent="0.25">
      <c r="A12" s="2" t="s">
        <v>11</v>
      </c>
      <c r="B12" s="3">
        <v>4365000</v>
      </c>
      <c r="C12" s="3">
        <v>6086000</v>
      </c>
      <c r="D12" s="3">
        <v>-4531000</v>
      </c>
      <c r="E12" s="3">
        <v>-32000</v>
      </c>
      <c r="F12" s="3">
        <v>3530000</v>
      </c>
      <c r="G12" s="3"/>
      <c r="H12" s="3"/>
      <c r="I12" s="3"/>
      <c r="J12" s="3"/>
      <c r="K12" s="3"/>
      <c r="L12" s="3"/>
      <c r="M12" s="3"/>
      <c r="N12" s="3"/>
      <c r="O12" s="3"/>
      <c r="P12" s="3"/>
      <c r="Q12" s="3"/>
    </row>
    <row r="13" spans="1:26" x14ac:dyDescent="0.25">
      <c r="A13" s="2" t="s">
        <v>12</v>
      </c>
      <c r="B13" s="3">
        <f>B10-B11+B12</f>
      </c>
      <c r="C13" s="3">
        <f>C10-C11+C12</f>
      </c>
      <c r="D13" s="3">
        <f>D10-D11+D12</f>
      </c>
      <c r="E13" s="3">
        <f>E10-E11+E12</f>
      </c>
      <c r="F13" s="3">
        <f>F10-F11+F12</f>
      </c>
      <c r="G13" s="3">
        <f>G10-G11+G12</f>
      </c>
      <c r="H13" s="3">
        <f>H10-H11+H12</f>
      </c>
      <c r="I13" s="3">
        <f>I10-I11+I12</f>
      </c>
      <c r="J13" s="3">
        <f>J10-J11+J12</f>
      </c>
      <c r="K13" s="3">
        <f>K10-K11+K12</f>
      </c>
      <c r="L13" s="3">
        <f>L10-L11+L12</f>
      </c>
      <c r="M13" s="3">
        <f>M10-M11+M12</f>
      </c>
      <c r="N13" s="3">
        <f>N10-N11+N12</f>
      </c>
      <c r="O13" s="3">
        <f>O10-O11+O12</f>
      </c>
      <c r="P13" s="3">
        <f>P10-P11+P12</f>
      </c>
      <c r="Q13" s="3">
        <f>Q10-Q11+Q12</f>
      </c>
      <c r="R13">
        <f>R10-R11+R12</f>
      </c>
      <c r="S13">
        <f>S10-S11+S12</f>
      </c>
      <c r="T13">
        <f>T10-T11+T12</f>
      </c>
      <c r="U13">
        <f>U10-U11+U12</f>
      </c>
      <c r="V13">
        <f>V10-V11+V12</f>
      </c>
      <c r="W13">
        <f>W10-W11+W12</f>
      </c>
      <c r="X13">
        <f>X10-X11+X12</f>
      </c>
      <c r="Y13">
        <f>Y10-Y11+Y12</f>
      </c>
      <c r="Z13">
        <f>Z10-Z11+Z12</f>
      </c>
    </row>
    <row r="14" spans="1:17" x14ac:dyDescent="0.25">
      <c r="A14" s="2" t="s">
        <v>13</v>
      </c>
      <c r="B14" s="3"/>
      <c r="C14" s="3"/>
      <c r="D14" s="3"/>
      <c r="E14" s="3"/>
      <c r="F14" s="3"/>
      <c r="G14" s="3"/>
      <c r="H14" s="3"/>
      <c r="I14" s="3"/>
      <c r="J14" s="3"/>
      <c r="K14" s="3"/>
      <c r="L14" s="3"/>
      <c r="M14" s="3"/>
      <c r="N14" s="3"/>
      <c r="O14" s="3"/>
      <c r="P14" s="3"/>
      <c r="Q14" s="3"/>
    </row>
    <row r="15" spans="1:26" x14ac:dyDescent="0.25">
      <c r="A15" s="2" t="s">
        <v>14</v>
      </c>
      <c r="B15" s="3">
        <f>B9+B13-B14</f>
      </c>
      <c r="C15" s="3">
        <f>C9+C13-C14</f>
      </c>
      <c r="D15" s="3">
        <f>D9+D13-D14</f>
      </c>
      <c r="E15" s="3">
        <f>E9+E13-E14</f>
      </c>
      <c r="F15" s="3">
        <f>F9+F13-F14</f>
      </c>
      <c r="G15" s="3">
        <f>G9+G13-G14</f>
      </c>
      <c r="H15" s="3">
        <f>H9+H13-H14</f>
      </c>
      <c r="I15" s="3">
        <f>I9+I13-I14</f>
      </c>
      <c r="J15" s="3">
        <f>J9+J13-J14</f>
      </c>
      <c r="K15" s="3">
        <f>K9+K13-K14</f>
      </c>
      <c r="L15" s="3">
        <f>L9+L13-L14</f>
      </c>
      <c r="M15" s="3">
        <f>M9+M13-M14</f>
      </c>
      <c r="N15" s="3">
        <f>N9+N13-N14</f>
      </c>
      <c r="O15" s="3">
        <f>O9+O13-O14</f>
      </c>
      <c r="P15" s="3">
        <f>P9+P13-P14</f>
      </c>
      <c r="Q15" s="3">
        <f>Q9+Q13-Q14</f>
      </c>
      <c r="R15">
        <f>R9+R13-R14</f>
      </c>
      <c r="S15">
        <f>S9+S13-S14</f>
      </c>
      <c r="T15">
        <f>T9+T13-T14</f>
      </c>
      <c r="U15">
        <f>U9+U13-U14</f>
      </c>
      <c r="V15">
        <f>V9+V13-V14</f>
      </c>
      <c r="W15">
        <f>W9+W13-W14</f>
      </c>
      <c r="X15">
        <f>X9+X13-X14</f>
      </c>
      <c r="Y15">
        <f>Y9+Y13-Y14</f>
      </c>
      <c r="Z15">
        <f>Z9+Z13-Z14</f>
      </c>
    </row>
    <row r="16" spans="1:17" x14ac:dyDescent="0.25">
      <c r="A16" s="2" t="s">
        <v>15</v>
      </c>
      <c r="B16" s="3">
        <v>4000</v>
      </c>
      <c r="C16" s="3">
        <v>23000</v>
      </c>
      <c r="D16" s="3">
        <v>13000</v>
      </c>
      <c r="E16" s="3">
        <v>5000</v>
      </c>
      <c r="F16" s="3">
        <v>-66000</v>
      </c>
      <c r="G16" s="3"/>
      <c r="H16" s="3"/>
      <c r="I16" s="3"/>
      <c r="J16" s="3"/>
      <c r="K16" s="3"/>
      <c r="L16" s="3"/>
      <c r="M16" s="3"/>
      <c r="N16" s="3"/>
      <c r="O16" s="3"/>
      <c r="P16" s="3"/>
      <c r="Q16" s="3"/>
    </row>
    <row r="17" spans="1:17" x14ac:dyDescent="0.25">
      <c r="A17" s="2" t="s">
        <v>16</v>
      </c>
      <c r="B17" s="3">
        <v>0</v>
      </c>
      <c r="C17" s="3">
        <v>0</v>
      </c>
      <c r="D17" s="3">
        <v>0</v>
      </c>
      <c r="E17" s="3">
        <v>0</v>
      </c>
      <c r="F17" s="3">
        <v>0</v>
      </c>
      <c r="G17" s="3"/>
      <c r="H17" s="3"/>
      <c r="I17" s="3"/>
      <c r="J17" s="3"/>
      <c r="K17" s="3"/>
      <c r="L17" s="3"/>
      <c r="M17" s="3"/>
      <c r="N17" s="3"/>
      <c r="O17" s="3"/>
      <c r="P17" s="3"/>
      <c r="Q17" s="3"/>
    </row>
    <row r="18" spans="1:17" x14ac:dyDescent="0.25">
      <c r="A18" s="2" t="s">
        <v>17</v>
      </c>
      <c r="B18" s="3">
        <v>0</v>
      </c>
      <c r="C18" s="3">
        <v>0</v>
      </c>
      <c r="D18" s="3">
        <v>0</v>
      </c>
      <c r="E18" s="3">
        <v>0</v>
      </c>
      <c r="F18" s="3">
        <v>-215000</v>
      </c>
      <c r="G18" s="3"/>
      <c r="H18" s="3"/>
      <c r="I18" s="3"/>
      <c r="J18" s="3"/>
      <c r="K18" s="3"/>
      <c r="L18" s="3"/>
      <c r="M18" s="3"/>
      <c r="N18" s="3"/>
      <c r="O18" s="3"/>
      <c r="P18" s="3"/>
      <c r="Q18" s="3"/>
    </row>
    <row r="19" spans="1:17" x14ac:dyDescent="0.25">
      <c r="A19" s="2" t="s">
        <v>18</v>
      </c>
      <c r="B19" s="3">
        <v>0</v>
      </c>
      <c r="C19" s="3">
        <v>0</v>
      </c>
      <c r="D19" s="3">
        <v>0</v>
      </c>
      <c r="E19" s="3">
        <v>0</v>
      </c>
      <c r="F19" s="3">
        <v>0</v>
      </c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</row>
    <row r="20" spans="1:26" x14ac:dyDescent="0.25">
      <c r="A20" s="2" t="s">
        <v>19</v>
      </c>
      <c r="B20" s="3">
        <f>B15-B16+B17-B18+B19</f>
      </c>
      <c r="C20" s="3">
        <f>C15-C16+C17-C18+C19</f>
      </c>
      <c r="D20" s="3">
        <f>D15-D16+D17-D18+D19</f>
      </c>
      <c r="E20" s="3">
        <f>E15-E16+E17-E18+E19</f>
      </c>
      <c r="F20" s="3">
        <f>F15-F16+F17-F18+F19</f>
      </c>
      <c r="G20" s="3">
        <f>G15-G16+G17-G18+G19</f>
      </c>
      <c r="H20" s="3">
        <f>H15-H16+H17-H18+H19</f>
      </c>
      <c r="I20" s="3">
        <f>I15-I16+I17-I18+I19</f>
      </c>
      <c r="J20" s="3">
        <f>J15-J16+J17-J18+J19</f>
      </c>
      <c r="K20" s="3">
        <f>K15-K16+K17-K18+K19</f>
      </c>
      <c r="L20" s="3">
        <f>L15-L16+L17-L18+L19</f>
      </c>
      <c r="M20" s="3">
        <f>M15-M16+M17-M18+M19</f>
      </c>
      <c r="N20" s="3">
        <f>N15-N16+N17-N18+N19</f>
      </c>
      <c r="O20" s="3">
        <f>O15-O16+O17-O18+O19</f>
      </c>
      <c r="P20" s="3">
        <f>P15-P16+P17-P18+P19</f>
      </c>
      <c r="Q20" s="3">
        <f>Q15-Q16+Q17-Q18+Q19</f>
      </c>
      <c r="R20">
        <f>R15-R16+R17-R18+R19</f>
      </c>
      <c r="S20">
        <f>S15-S16+S17-S18+S19</f>
      </c>
      <c r="T20">
        <f>T15-T16+T17-T18+T19</f>
      </c>
      <c r="U20">
        <f>U15-U16+U17-U18+U19</f>
      </c>
      <c r="V20">
        <f>V15-V16+V17-V18+V19</f>
      </c>
      <c r="W20">
        <f>W15-W16+W17-W18+W19</f>
      </c>
      <c r="X20">
        <f>X15-X16+X17-X18+X19</f>
      </c>
      <c r="Y20">
        <f>Y15-Y16+Y17-Y18+Y19</f>
      </c>
      <c r="Z20">
        <f>Z15-Z16+Z17-Z18+Z19</f>
      </c>
    </row>
    <row r="21" spans="1:17" x14ac:dyDescent="0.25">
      <c r="A21" s="2"/>
      <c r="B21" s="3"/>
      <c r="C21" s="3"/>
      <c r="D21" s="3"/>
      <c r="E21" s="3"/>
      <c r="F21" s="3"/>
      <c r="G21" s="3"/>
      <c r="H21" s="3"/>
      <c r="I21" s="3"/>
      <c r="J21" s="3"/>
      <c r="K21" s="3"/>
      <c r="L21" s="3"/>
      <c r="M21" s="3"/>
      <c r="N21" s="3"/>
      <c r="O21" s="3"/>
      <c r="P21" s="3"/>
      <c r="Q21" s="3"/>
    </row>
    <row r="22" spans="1:17" x14ac:dyDescent="0.25">
      <c r="A22" s="2" t="s">
        <v>20</v>
      </c>
      <c r="B22" s="3">
        <v>2630000</v>
      </c>
      <c r="C22" s="3">
        <v>4318000</v>
      </c>
      <c r="D22" s="3">
        <v>5778000</v>
      </c>
      <c r="E22" s="3">
        <v>4290000</v>
      </c>
      <c r="F22" s="3">
        <v>3532000</v>
      </c>
      <c r="G22" s="3"/>
      <c r="H22" s="3"/>
      <c r="I22" s="3"/>
      <c r="J22" s="3"/>
      <c r="K22" s="3"/>
      <c r="L22" s="3"/>
      <c r="M22" s="3"/>
      <c r="N22" s="3"/>
      <c r="O22" s="3"/>
      <c r="P22" s="3"/>
      <c r="Q22" s="3"/>
    </row>
    <row r="23" spans="1:17" x14ac:dyDescent="0.25">
      <c r="A23" s="2" t="s">
        <v>21</v>
      </c>
      <c r="B23" s="3">
        <v>3572000</v>
      </c>
      <c r="C23" s="3">
        <v>6792000</v>
      </c>
      <c r="D23" s="3">
        <v>4424000</v>
      </c>
      <c r="E23" s="3">
        <v>4741000</v>
      </c>
      <c r="F23" s="3">
        <v>2249000</v>
      </c>
      <c r="G23" s="3"/>
      <c r="H23" s="3"/>
      <c r="I23" s="3"/>
      <c r="J23" s="3"/>
      <c r="K23" s="3"/>
      <c r="L23" s="3"/>
      <c r="M23" s="3"/>
      <c r="N23" s="3"/>
      <c r="O23" s="3"/>
      <c r="P23" s="3"/>
      <c r="Q23" s="3"/>
    </row>
    <row r="24" spans="1:17" x14ac:dyDescent="0.25">
      <c r="A24" s="2" t="s">
        <v>22</v>
      </c>
      <c r="B24" s="3">
        <v>-10816000</v>
      </c>
      <c r="C24" s="3">
        <v>967000</v>
      </c>
      <c r="D24" s="3">
        <v>35910000</v>
      </c>
      <c r="E24" s="3">
        <v>1002000</v>
      </c>
      <c r="F24" s="3">
        <v>7195000</v>
      </c>
      <c r="G24" s="3"/>
      <c r="H24" s="3"/>
      <c r="I24" s="3"/>
      <c r="J24" s="3"/>
      <c r="K24" s="3"/>
      <c r="L24" s="3"/>
      <c r="M24" s="3"/>
      <c r="N24" s="3"/>
      <c r="O24" s="3"/>
      <c r="P24" s="3"/>
      <c r="Q24" s="3"/>
    </row>
    <row r="25" spans="1:26" x14ac:dyDescent="0.25">
      <c r="A25" s="2" t="s">
        <v>23</v>
      </c>
      <c r="B25" s="3">
        <f>B20+B22+B23+B24</f>
      </c>
      <c r="C25" s="3">
        <f>C20+C22+C23+C24</f>
      </c>
      <c r="D25" s="3">
        <f>D20+D22+D23+D24</f>
      </c>
      <c r="E25" s="3">
        <f>E20+E22+E23+E24</f>
      </c>
      <c r="F25" s="3">
        <f>F20+F22+F23+F24</f>
      </c>
      <c r="G25" s="3">
        <f>G20+G22+G23+G24</f>
      </c>
      <c r="H25" s="3">
        <f>H20+H22+H23+H24</f>
      </c>
      <c r="I25" s="3">
        <f>I20+I22+I23+I24</f>
      </c>
      <c r="J25" s="3">
        <f>J20+J22+J23+J24</f>
      </c>
      <c r="K25" s="3">
        <f>K20+K22+K23+K24</f>
      </c>
      <c r="L25" s="3">
        <f>L20+L22+L23+L24</f>
      </c>
      <c r="M25" s="3">
        <f>M20+M22+M23+M24</f>
      </c>
      <c r="N25" s="3">
        <f>N20+N22+N23+N24</f>
      </c>
      <c r="O25" s="3">
        <f>O20+O22+O23+O24</f>
      </c>
      <c r="P25" s="3">
        <f>P20+P22+P23+P24</f>
      </c>
      <c r="Q25" s="3">
        <f>Q20+Q22+Q23+Q24</f>
      </c>
      <c r="R25">
        <f>R20+R22+R23+R24</f>
      </c>
      <c r="S25">
        <f>S20+S22+S23+S24</f>
      </c>
      <c r="T25">
        <f>T20+T22+T23+T24</f>
      </c>
      <c r="U25">
        <f>U20+U22+U23+U24</f>
      </c>
      <c r="V25">
        <f>V20+V22+V23+V24</f>
      </c>
      <c r="W25">
        <f>W20+W22+W23+W24</f>
      </c>
      <c r="X25">
        <f>X20+X22+X23+X24</f>
      </c>
      <c r="Y25">
        <f>Y20+Y22+Y23+Y24</f>
      </c>
      <c r="Z25">
        <f>Z20+Z22+Z23+Z24</f>
      </c>
    </row>
    <row r="26" spans="1:17" x14ac:dyDescent="0.25">
      <c r="A26" s="2" t="s">
        <v>24</v>
      </c>
      <c r="B26" s="3">
        <v>8426000</v>
      </c>
      <c r="C26" s="3">
        <v>5673000</v>
      </c>
      <c r="D26" s="3">
        <v>3017000</v>
      </c>
      <c r="E26" s="3">
        <v>2556000</v>
      </c>
      <c r="F26" s="3">
        <v>92000</v>
      </c>
      <c r="G26" s="3"/>
      <c r="H26" s="3"/>
      <c r="I26" s="3"/>
      <c r="J26" s="3"/>
      <c r="K26" s="3"/>
      <c r="L26" s="3"/>
      <c r="M26" s="3"/>
      <c r="N26" s="3"/>
      <c r="O26" s="3"/>
      <c r="P26" s="3"/>
      <c r="Q26" s="3"/>
    </row>
    <row r="27" spans="1:26" x14ac:dyDescent="0.25">
      <c r="A27" s="2" t="s">
        <v>25</v>
      </c>
      <c r="B27" s="3">
        <f>B25-B26</f>
      </c>
      <c r="C27" s="3">
        <f>C25-C26</f>
      </c>
      <c r="D27" s="3">
        <f>D25-D26</f>
      </c>
      <c r="E27" s="3">
        <f>E25-E26</f>
      </c>
      <c r="F27" s="3">
        <f>F25-F26</f>
      </c>
      <c r="G27" s="3">
        <f>G25-G26</f>
      </c>
      <c r="H27" s="3">
        <f>H25-H26</f>
      </c>
      <c r="I27" s="3">
        <f>I25-I26</f>
      </c>
      <c r="J27" s="3">
        <f>J25-J26</f>
      </c>
      <c r="K27" s="3">
        <f>K25-K26</f>
      </c>
      <c r="L27" s="3">
        <f>L25-L26</f>
      </c>
      <c r="M27" s="3">
        <f>M25-M26</f>
      </c>
      <c r="N27" s="3">
        <f>N25-N26</f>
      </c>
      <c r="O27" s="3">
        <f>O25-O26</f>
      </c>
      <c r="P27" s="3">
        <f>P25-P26</f>
      </c>
      <c r="Q27" s="3">
        <f>Q25-Q26</f>
      </c>
      <c r="R27">
        <f>R25-R26</f>
      </c>
      <c r="S27">
        <f>S25-S26</f>
      </c>
      <c r="T27">
        <f>T25-T26</f>
      </c>
      <c r="U27">
        <f>U25-U26</f>
      </c>
      <c r="V27">
        <f>V25-V26</f>
      </c>
      <c r="W27">
        <f>W25-W26</f>
      </c>
      <c r="X27">
        <f>X25-X26</f>
      </c>
      <c r="Y27">
        <f>Y25-Y26</f>
      </c>
      <c r="Z27">
        <f>Z25-Z26</f>
      </c>
    </row>
    <row r="28" spans="1:17" x14ac:dyDescent="0.25">
      <c r="A28" s="2"/>
      <c r="B28" s="3"/>
      <c r="C28" s="3"/>
      <c r="D28" s="3"/>
      <c r="E28" s="3"/>
      <c r="F28" s="3"/>
      <c r="G28" s="3"/>
      <c r="H28" s="3"/>
      <c r="I28" s="3"/>
      <c r="J28" s="3"/>
      <c r="K28" s="3"/>
      <c r="L28" s="3"/>
      <c r="M28" s="3"/>
      <c r="N28" s="3"/>
      <c r="O28" s="3"/>
      <c r="P28" s="3"/>
      <c r="Q28" s="3"/>
    </row>
    <row r="29" spans="1:26" x14ac:dyDescent="0.25">
      <c r="A29" s="2" t="s">
        <v>26</v>
      </c>
      <c r="B29" s="4"/>
      <c r="C29" s="4">
        <f>IF(AND(COUNT(B2,C2)=2, C2&lt;&gt;0, B2&lt;&gt;0), C2/B2-1, " ")</f>
      </c>
      <c r="D29" s="4">
        <f>IF(AND(COUNT(C2,D2)=2, D2&lt;&gt;0, C2&lt;&gt;0), D2/C2-1, " ")</f>
      </c>
      <c r="E29" s="4">
        <f>IF(AND(COUNT(D2,E2)=2, E2&lt;&gt;0, D2&lt;&gt;0), E2/D2-1, " ")</f>
      </c>
      <c r="F29" s="4">
        <f>IF(AND(COUNT(E2,F2)=2, F2&lt;&gt;0, E2&lt;&gt;0), F2/E2-1, " ")</f>
      </c>
      <c r="G29" s="4">
        <f>IF(AND(COUNT(F2,G2)=2, G2&lt;&gt;0, F2&lt;&gt;0), G2/F2-1, " ")</f>
      </c>
      <c r="H29" s="4">
        <f>IF(AND(COUNT(G2,H2)=2, H2&lt;&gt;0, G2&lt;&gt;0), H2/G2-1, " ")</f>
      </c>
      <c r="I29" s="4">
        <f>IF(AND(COUNT(H2,I2)=2, I2&lt;&gt;0, H2&lt;&gt;0), I2/H2-1, " ")</f>
      </c>
      <c r="J29" s="4">
        <f>IF(AND(COUNT(I2,J2)=2, J2&lt;&gt;0, I2&lt;&gt;0), J2/I2-1, " ")</f>
      </c>
      <c r="K29" s="4">
        <f>IF(AND(COUNT(J2,K2)=2, K2&lt;&gt;0, J2&lt;&gt;0), K2/J2-1, " ")</f>
      </c>
      <c r="L29" s="4">
        <f>IF(AND(COUNT(K2,L2)=2, L2&lt;&gt;0, K2&lt;&gt;0), L2/K2-1, " ")</f>
      </c>
      <c r="M29" s="4">
        <f>IF(AND(COUNT(L2,M2)=2, M2&lt;&gt;0, L2&lt;&gt;0), M2/L2-1, " ")</f>
      </c>
      <c r="N29" s="4">
        <f>IF(AND(COUNT(M2,N2)=2, N2&lt;&gt;0, M2&lt;&gt;0), N2/M2-1, " ")</f>
      </c>
      <c r="O29" s="4">
        <f>IF(AND(COUNT(N2,O2)=2, O2&lt;&gt;0, N2&lt;&gt;0), O2/N2-1, " ")</f>
      </c>
      <c r="P29" s="4">
        <f>IF(AND(COUNT(O2,P2)=2, P2&lt;&gt;0, O2&lt;&gt;0), P2/O2-1, " ")</f>
      </c>
      <c r="Q29" s="4">
        <f>IF(AND(COUNT(P2,Q2)=2, Q2&lt;&gt;0, P2&lt;&gt;0), Q2/P2-1, " ")</f>
      </c>
      <c r="R29">
        <f>IF(AND(COUNT(Q2,R2)=2, R2&lt;&gt;0, Q2&lt;&gt;0), R2/Q2-1, " ")</f>
      </c>
      <c r="S29">
        <f>IF(AND(COUNT(R2,S2)=2, S2&lt;&gt;0, R2&lt;&gt;0), S2/R2-1, " ")</f>
      </c>
      <c r="T29">
        <f>IF(AND(COUNT(S2,T2)=2, T2&lt;&gt;0, S2&lt;&gt;0), T2/S2-1, " ")</f>
      </c>
      <c r="U29">
        <f>IF(AND(COUNT(T2,U2)=2, U2&lt;&gt;0, T2&lt;&gt;0), U2/T2-1, " ")</f>
      </c>
      <c r="V29">
        <f>IF(AND(COUNT(U2,V2)=2, V2&lt;&gt;0, U2&lt;&gt;0), V2/U2-1, " ")</f>
      </c>
      <c r="W29">
        <f>IF(AND(COUNT(V2,W2)=2, W2&lt;&gt;0, V2&lt;&gt;0), W2/V2-1, " ")</f>
      </c>
      <c r="X29">
        <f>IF(AND(COUNT(W2,X2)=2, X2&lt;&gt;0, W2&lt;&gt;0), X2/W2-1, " ")</f>
      </c>
      <c r="Y29">
        <f>IF(AND(COUNT(X2,Y2)=2, Y2&lt;&gt;0, X2&lt;&gt;0), Y2/X2-1, " ")</f>
      </c>
      <c r="Z29">
        <f>IF(AND(COUNT(Y2,Z2)=2, Z2&lt;&gt;0, Y2&lt;&gt;0), Z2/Y2-1, " ")</f>
      </c>
    </row>
    <row r="30" spans="1:26" x14ac:dyDescent="0.25">
      <c r="A30" s="2" t="s">
        <v>27</v>
      </c>
      <c r="B30" s="4">
        <f>IF(AND(COUNT(B2,B4)=2, B2&lt;&gt;0), B4/B2, " ")</f>
      </c>
      <c r="C30" s="4">
        <f>IF(AND(COUNT(C2,C4)=2, C2&lt;&gt;0), C4/C2, " ")</f>
      </c>
      <c r="D30" s="4">
        <f>IF(AND(COUNT(D2,D4)=2, D2&lt;&gt;0), D4/D2, " ")</f>
      </c>
      <c r="E30" s="4">
        <f>IF(AND(COUNT(E2,E4)=2, E2&lt;&gt;0), E4/E2, " ")</f>
      </c>
      <c r="F30" s="4">
        <f>IF(AND(COUNT(F2,F4)=2, F2&lt;&gt;0), F4/F2, " ")</f>
      </c>
      <c r="G30" s="4">
        <f>IF(AND(COUNT(G2,G4)=2, G2&lt;&gt;0), G4/G2, " ")</f>
      </c>
      <c r="H30" s="4">
        <f>IF(AND(COUNT(H2,H4)=2, H2&lt;&gt;0), H4/H2, " ")</f>
      </c>
      <c r="I30" s="4">
        <f>IF(AND(COUNT(I2,I4)=2, I2&lt;&gt;0), I4/I2, " ")</f>
      </c>
      <c r="J30" s="4">
        <f>IF(AND(COUNT(J2,J4)=2, J2&lt;&gt;0), J4/J2, " ")</f>
      </c>
      <c r="K30" s="4">
        <f>IF(AND(COUNT(K2,K4)=2, K2&lt;&gt;0), K4/K2, " ")</f>
      </c>
      <c r="L30" s="4">
        <f>IF(AND(COUNT(L2,L4)=2, L2&lt;&gt;0), L4/L2, " ")</f>
      </c>
      <c r="M30" s="4">
        <f>IF(AND(COUNT(M2,M4)=2, M2&lt;&gt;0), M4/M2, " ")</f>
      </c>
      <c r="N30" s="4">
        <f>IF(AND(COUNT(N2,N4)=2, N2&lt;&gt;0), N4/N2, " ")</f>
      </c>
      <c r="O30" s="4">
        <f>IF(AND(COUNT(O2,O4)=2, O2&lt;&gt;0), O4/O2, " ")</f>
      </c>
      <c r="P30" s="4">
        <f>IF(AND(COUNT(P2,P4)=2, P2&lt;&gt;0), P4/P2, " ")</f>
      </c>
      <c r="Q30" s="4">
        <f>IF(AND(COUNT(Q2,Q4)=2, Q2&lt;&gt;0), Q4/Q2, " ")</f>
      </c>
      <c r="R30">
        <f>IF(AND(COUNT(R2,R4)=2, R2&lt;&gt;0), R4/R2, " ")</f>
      </c>
      <c r="S30">
        <f>IF(AND(COUNT(S2,S4)=2, S2&lt;&gt;0), S4/S2, " ")</f>
      </c>
      <c r="T30">
        <f>IF(AND(COUNT(T2,T4)=2, T2&lt;&gt;0), T4/T2, " ")</f>
      </c>
      <c r="U30">
        <f>IF(AND(COUNT(U2,U4)=2, U2&lt;&gt;0), U4/U2, " ")</f>
      </c>
      <c r="V30">
        <f>IF(AND(COUNT(V2,V4)=2, V2&lt;&gt;0), V4/V2, " ")</f>
      </c>
      <c r="W30">
        <f>IF(AND(COUNT(W2,W4)=2, W2&lt;&gt;0), W4/W2, " ")</f>
      </c>
      <c r="X30">
        <f>IF(AND(COUNT(X2,X4)=2, X2&lt;&gt;0), X4/X2, " ")</f>
      </c>
      <c r="Y30">
        <f>IF(AND(COUNT(Y2,Y4)=2, Y2&lt;&gt;0), Y4/Y2, " ")</f>
      </c>
      <c r="Z30">
        <f>IF(AND(COUNT(Z2,Z4)=2, Z2&lt;&gt;0), Z4/Z2, " ")</f>
      </c>
    </row>
    <row r="31" spans="1:26" x14ac:dyDescent="0.25">
      <c r="A31" s="2" t="s">
        <v>28</v>
      </c>
      <c r="B31" s="4">
        <f>IF(AND(COUNT(B2,B9)=2, B2&lt;&gt;0), B9/B2, " ")</f>
      </c>
      <c r="C31" s="4">
        <f>IF(AND(COUNT(C2,C9)=2, C2&lt;&gt;0), C9/C2, " ")</f>
      </c>
      <c r="D31" s="4">
        <f>IF(AND(COUNT(D2,D9)=2, D2&lt;&gt;0), D9/D2, " ")</f>
      </c>
      <c r="E31" s="4">
        <f>IF(AND(COUNT(E2,E9)=2, E2&lt;&gt;0), E9/E2, " ")</f>
      </c>
      <c r="F31" s="4">
        <f>IF(AND(COUNT(F2,F9)=2, F2&lt;&gt;0), F9/F2, " ")</f>
      </c>
      <c r="G31" s="4">
        <f>IF(AND(COUNT(G2,G9)=2, G2&lt;&gt;0), G9/G2, " ")</f>
      </c>
      <c r="H31" s="4">
        <f>IF(AND(COUNT(H2,H9)=2, H2&lt;&gt;0), H9/H2, " ")</f>
      </c>
      <c r="I31" s="4">
        <f>IF(AND(COUNT(I2,I9)=2, I2&lt;&gt;0), I9/I2, " ")</f>
      </c>
      <c r="J31" s="4">
        <f>IF(AND(COUNT(J2,J9)=2, J2&lt;&gt;0), J9/J2, " ")</f>
      </c>
      <c r="K31" s="4">
        <f>IF(AND(COUNT(K2,K9)=2, K2&lt;&gt;0), K9/K2, " ")</f>
      </c>
      <c r="L31" s="4">
        <f>IF(AND(COUNT(L2,L9)=2, L2&lt;&gt;0), L9/L2, " ")</f>
      </c>
      <c r="M31" s="4">
        <f>IF(AND(COUNT(M2,M9)=2, M2&lt;&gt;0), M9/M2, " ")</f>
      </c>
      <c r="N31" s="4">
        <f>IF(AND(COUNT(N2,N9)=2, N2&lt;&gt;0), N9/N2, " ")</f>
      </c>
      <c r="O31" s="4">
        <f>IF(AND(COUNT(O2,O9)=2, O2&lt;&gt;0), O9/O2, " ")</f>
      </c>
      <c r="P31" s="4">
        <f>IF(AND(COUNT(P2,P9)=2, P2&lt;&gt;0), P9/P2, " ")</f>
      </c>
      <c r="Q31" s="4">
        <f>IF(AND(COUNT(Q2,Q9)=2, Q2&lt;&gt;0), Q9/Q2, " ")</f>
      </c>
      <c r="R31">
        <f>IF(AND(COUNT(R2,R9)=2, R2&lt;&gt;0), R9/R2, " ")</f>
      </c>
      <c r="S31">
        <f>IF(AND(COUNT(S2,S9)=2, S2&lt;&gt;0), S9/S2, " ")</f>
      </c>
      <c r="T31">
        <f>IF(AND(COUNT(T2,T9)=2, T2&lt;&gt;0), T9/T2, " ")</f>
      </c>
      <c r="U31">
        <f>IF(AND(COUNT(U2,U9)=2, U2&lt;&gt;0), U9/U2, " ")</f>
      </c>
      <c r="V31">
        <f>IF(AND(COUNT(V2,V9)=2, V2&lt;&gt;0), V9/V2, " ")</f>
      </c>
      <c r="W31">
        <f>IF(AND(COUNT(W2,W9)=2, W2&lt;&gt;0), W9/W2, " ")</f>
      </c>
      <c r="X31">
        <f>IF(AND(COUNT(X2,X9)=2, X2&lt;&gt;0), X9/X2, " ")</f>
      </c>
      <c r="Y31">
        <f>IF(AND(COUNT(Y2,Y9)=2, Y2&lt;&gt;0), Y9/Y2, " ")</f>
      </c>
      <c r="Z31">
        <f>IF(AND(COUNT(Z2,Z9)=2, Z2&lt;&gt;0), Z9/Z2, " ")</f>
      </c>
    </row>
    <row r="32" spans="1:26" x14ac:dyDescent="0.25">
      <c r="A32" s="2" t="s">
        <v>29</v>
      </c>
      <c r="B32" s="4">
        <f>IF(AND(COUNT(B15,B15)=2, B15&lt;&gt;0), B16/B15, " ")</f>
      </c>
      <c r="C32" s="4">
        <f>IF(AND(COUNT(C15,C15)=2, C15&lt;&gt;0), C16/C15, " ")</f>
      </c>
      <c r="D32" s="4">
        <f>IF(AND(COUNT(D15,D15)=2, D15&lt;&gt;0), D16/D15, " ")</f>
      </c>
      <c r="E32" s="4">
        <f>IF(AND(COUNT(E15,E15)=2, E15&lt;&gt;0), E16/E15, " ")</f>
      </c>
      <c r="F32" s="4">
        <f>IF(AND(COUNT(F15,F15)=2, F15&lt;&gt;0), F16/F15, " ")</f>
      </c>
      <c r="G32" s="4">
        <f>IF(AND(COUNT(G15,G15)=2, G15&lt;&gt;0), G16/G15, " ")</f>
      </c>
      <c r="H32" s="4">
        <f>IF(AND(COUNT(H15,H15)=2, H15&lt;&gt;0), H16/H15, " ")</f>
      </c>
      <c r="I32" s="4">
        <f>IF(AND(COUNT(I15,I15)=2, I15&lt;&gt;0), I16/I15, " ")</f>
      </c>
      <c r="J32" s="4">
        <f>IF(AND(COUNT(J15,J15)=2, J15&lt;&gt;0), J16/J15, " ")</f>
      </c>
      <c r="K32" s="4">
        <f>IF(AND(COUNT(K15,K15)=2, K15&lt;&gt;0), K16/K15, " ")</f>
      </c>
      <c r="L32" s="4">
        <f>IF(AND(COUNT(L15,L15)=2, L15&lt;&gt;0), L16/L15, " ")</f>
      </c>
      <c r="M32" s="4">
        <f>IF(AND(COUNT(M15,M15)=2, M15&lt;&gt;0), M16/M15, " ")</f>
      </c>
      <c r="N32" s="4">
        <f>IF(AND(COUNT(N15,N15)=2, N15&lt;&gt;0), N16/N15, " ")</f>
      </c>
      <c r="O32" s="4">
        <f>IF(AND(COUNT(O15,O15)=2, O15&lt;&gt;0), O16/O15, " ")</f>
      </c>
      <c r="P32" s="4">
        <f>IF(AND(COUNT(P15,P15)=2, P15&lt;&gt;0), P16/P15, " ")</f>
      </c>
      <c r="Q32" s="4">
        <f>IF(AND(COUNT(Q15,Q15)=2, Q15&lt;&gt;0), Q16/Q15, " ")</f>
      </c>
      <c r="R32">
        <f>IF(AND(COUNT(R15,R15)=2, R15&lt;&gt;0), R16/R15, " ")</f>
      </c>
      <c r="S32">
        <f>IF(AND(COUNT(S15,S15)=2, S15&lt;&gt;0), S16/S15, " ")</f>
      </c>
      <c r="T32">
        <f>IF(AND(COUNT(T15,T15)=2, T15&lt;&gt;0), T16/T15, " ")</f>
      </c>
      <c r="U32">
        <f>IF(AND(COUNT(U15,U15)=2, U15&lt;&gt;0), U16/U15, " ")</f>
      </c>
      <c r="V32">
        <f>IF(AND(COUNT(V15,V15)=2, V15&lt;&gt;0), V16/V15, " ")</f>
      </c>
      <c r="W32">
        <f>IF(AND(COUNT(W15,W15)=2, W15&lt;&gt;0), W16/W15, " ")</f>
      </c>
      <c r="X32">
        <f>IF(AND(COUNT(X15,X15)=2, X15&lt;&gt;0), X16/X15, " ")</f>
      </c>
      <c r="Y32">
        <f>IF(AND(COUNT(Y15,Y15)=2, Y15&lt;&gt;0), Y16/Y15, " ")</f>
      </c>
      <c r="Z32">
        <f>IF(AND(COUNT(Z15,Z15)=2, Z15&lt;&gt;0), Z16/Z15, " ")</f>
      </c>
    </row>
    <row r="33" spans="1:26" x14ac:dyDescent="0.25">
      <c r="A33" s="2" t="s">
        <v>30</v>
      </c>
      <c r="B33" s="4">
        <f>IF(AND(COUNT(B20,B2)=2, B2&lt;&gt;0), B20/B2, " ")</f>
      </c>
      <c r="C33" s="4">
        <f>IF(AND(COUNT(C20,C2)=2, C2&lt;&gt;0), C20/C2, " ")</f>
      </c>
      <c r="D33" s="4">
        <f>IF(AND(COUNT(D20,D2)=2, D2&lt;&gt;0), D20/D2, " ")</f>
      </c>
      <c r="E33" s="4">
        <f>IF(AND(COUNT(E20,E2)=2, E2&lt;&gt;0), E20/E2, " ")</f>
      </c>
      <c r="F33" s="4">
        <f>IF(AND(COUNT(F20,F2)=2, F2&lt;&gt;0), F20/F2, " ")</f>
      </c>
      <c r="G33" s="4">
        <f>IF(AND(COUNT(G20,G2)=2, G2&lt;&gt;0), G20/G2, " ")</f>
      </c>
      <c r="H33" s="4">
        <f>IF(AND(COUNT(H20,H2)=2, H2&lt;&gt;0), H20/H2, " ")</f>
      </c>
      <c r="I33" s="4">
        <f>IF(AND(COUNT(I20,I2)=2, I2&lt;&gt;0), I20/I2, " ")</f>
      </c>
      <c r="J33" s="4">
        <f>IF(AND(COUNT(J20,J2)=2, J2&lt;&gt;0), J20/J2, " ")</f>
      </c>
      <c r="K33" s="4">
        <f>IF(AND(COUNT(K20,K2)=2, K2&lt;&gt;0), K20/K2, " ")</f>
      </c>
      <c r="L33" s="4">
        <f>IF(AND(COUNT(L20,L2)=2, L2&lt;&gt;0), L20/L2, " ")</f>
      </c>
      <c r="M33" s="4">
        <f>IF(AND(COUNT(M20,M2)=2, M2&lt;&gt;0), M20/M2, " ")</f>
      </c>
      <c r="N33" s="4">
        <f>IF(AND(COUNT(N20,N2)=2, N2&lt;&gt;0), N20/N2, " ")</f>
      </c>
      <c r="O33" s="4">
        <f>IF(AND(COUNT(O20,O2)=2, O2&lt;&gt;0), O20/O2, " ")</f>
      </c>
      <c r="P33" s="4">
        <f>IF(AND(COUNT(P20,P2)=2, P2&lt;&gt;0), P20/P2, " ")</f>
      </c>
      <c r="Q33" s="4">
        <f>IF(AND(COUNT(Q20,Q2)=2, Q2&lt;&gt;0), Q20/Q2, " ")</f>
      </c>
      <c r="R33">
        <f>IF(AND(COUNT(R20,R2)=2, R2&lt;&gt;0), R20/R2, " ")</f>
      </c>
      <c r="S33">
        <f>IF(AND(COUNT(S20,S2)=2, S2&lt;&gt;0), S20/S2, " ")</f>
      </c>
      <c r="T33">
        <f>IF(AND(COUNT(T20,T2)=2, T2&lt;&gt;0), T20/T2, " ")</f>
      </c>
      <c r="U33">
        <f>IF(AND(COUNT(U20,U2)=2, U2&lt;&gt;0), U20/U2, " ")</f>
      </c>
      <c r="V33">
        <f>IF(AND(COUNT(V20,V2)=2, V2&lt;&gt;0), V20/V2, " ")</f>
      </c>
      <c r="W33">
        <f>IF(AND(COUNT(W20,W2)=2, W2&lt;&gt;0), W20/W2, " ")</f>
      </c>
      <c r="X33">
        <f>IF(AND(COUNT(X20,X2)=2, X2&lt;&gt;0), X20/X2, " ")</f>
      </c>
      <c r="Y33">
        <f>IF(AND(COUNT(Y20,Y2)=2, Y2&lt;&gt;0), Y20/Y2, " ")</f>
      </c>
      <c r="Z33">
        <f>IF(AND(COUNT(Z20,Z2)=2, Z2&lt;&gt;0), Z20/Z2, " ")</f>
      </c>
    </row>
    <row r="34" spans="1:26" x14ac:dyDescent="0.25">
      <c r="A34" s="2" t="s">
        <v>31</v>
      </c>
      <c r="B34" s="4"/>
      <c r="C34" s="4">
        <f>IF(AND(COUNT(B27,C27)=2, C27&lt;&gt;0, B2&lt;&gt;0), C27/B27-1, " ")</f>
      </c>
      <c r="D34" s="4">
        <f>IF(AND(COUNT(C27,D27)=2, D27&lt;&gt;0, C2&lt;&gt;0), D27/C27-1, " ")</f>
      </c>
      <c r="E34" s="4">
        <f>IF(AND(COUNT(D27,E27)=2, E27&lt;&gt;0, D2&lt;&gt;0), E27/D27-1, " ")</f>
      </c>
      <c r="F34" s="4">
        <f>IF(AND(COUNT(E27,F27)=2, F27&lt;&gt;0, E2&lt;&gt;0), F27/E27-1, " ")</f>
      </c>
      <c r="G34" s="4">
        <f>IF(AND(COUNT(F27,G27)=2, G27&lt;&gt;0, F2&lt;&gt;0), G27/F27-1, " ")</f>
      </c>
      <c r="H34" s="4">
        <f>IF(AND(COUNT(G27,H27)=2, H27&lt;&gt;0, G2&lt;&gt;0), H27/G27-1, " ")</f>
      </c>
      <c r="I34" s="4">
        <f>IF(AND(COUNT(H27,I27)=2, I27&lt;&gt;0, H2&lt;&gt;0), I27/H27-1, " ")</f>
      </c>
      <c r="J34" s="4">
        <f>IF(AND(COUNT(I27,J27)=2, J27&lt;&gt;0, I2&lt;&gt;0), J27/I27-1, " ")</f>
      </c>
      <c r="K34" s="4">
        <f>IF(AND(COUNT(J27,K27)=2, K27&lt;&gt;0, J2&lt;&gt;0), K27/J27-1, " ")</f>
      </c>
      <c r="L34" s="4">
        <f>IF(AND(COUNT(K27,L27)=2, L27&lt;&gt;0, K2&lt;&gt;0), L27/K27-1, " ")</f>
      </c>
      <c r="M34" s="4">
        <f>IF(AND(COUNT(L27,M27)=2, M27&lt;&gt;0, L2&lt;&gt;0), M27/L27-1, " ")</f>
      </c>
      <c r="N34" s="4">
        <f>IF(AND(COUNT(M27,N27)=2, N27&lt;&gt;0, M2&lt;&gt;0), N27/M27-1, " ")</f>
      </c>
      <c r="O34" s="4">
        <f>IF(AND(COUNT(N27,O27)=2, O27&lt;&gt;0, N2&lt;&gt;0), O27/N27-1, " ")</f>
      </c>
      <c r="P34" s="4">
        <f>IF(AND(COUNT(O27,P27)=2, P27&lt;&gt;0, O2&lt;&gt;0), P27/O27-1, " ")</f>
      </c>
      <c r="Q34" s="4">
        <f>IF(AND(COUNT(P27,Q27)=2, Q27&lt;&gt;0, P2&lt;&gt;0), Q27/P27-1, " ")</f>
      </c>
      <c r="R34">
        <f>IF(AND(COUNT(Q27,R27)=2, R27&lt;&gt;0, Q2&lt;&gt;0), R27/Q27-1, " ")</f>
      </c>
      <c r="S34">
        <f>IF(AND(COUNT(R27,S27)=2, S27&lt;&gt;0, R2&lt;&gt;0), S27/R27-1, " ")</f>
      </c>
      <c r="T34">
        <f>IF(AND(COUNT(S27,T27)=2, T27&lt;&gt;0, S2&lt;&gt;0), T27/S27-1, " ")</f>
      </c>
      <c r="U34">
        <f>IF(AND(COUNT(T27,U27)=2, U27&lt;&gt;0, T2&lt;&gt;0), U27/T27-1, " ")</f>
      </c>
      <c r="V34">
        <f>IF(AND(COUNT(U27,V27)=2, V27&lt;&gt;0, U2&lt;&gt;0), V27/U27-1, " ")</f>
      </c>
      <c r="W34">
        <f>IF(AND(COUNT(V27,W27)=2, W27&lt;&gt;0, V2&lt;&gt;0), W27/V27-1, " ")</f>
      </c>
      <c r="X34">
        <f>IF(AND(COUNT(W27,X27)=2, X27&lt;&gt;0, W2&lt;&gt;0), X27/W27-1, " ")</f>
      </c>
      <c r="Y34">
        <f>IF(AND(COUNT(X27,Y27)=2, Y27&lt;&gt;0, X2&lt;&gt;0), Y27/X27-1, " ")</f>
      </c>
      <c r="Z34">
        <f>IF(AND(COUNT(Y27,Z27)=2, Z27&lt;&gt;0, Y2&lt;&gt;0), Z27/Y27-1, " ")</f>
      </c>
    </row>
    <row r="35" spans="1:17" x14ac:dyDescent="0.25">
      <c r="A35" s="2"/>
      <c r="B35" s="3"/>
      <c r="C35" s="3"/>
      <c r="D35" s="3"/>
      <c r="E35" s="3"/>
      <c r="F35" s="3"/>
      <c r="G35" s="3"/>
      <c r="H35" s="3"/>
      <c r="I35" s="3"/>
      <c r="J35" s="3"/>
      <c r="K35" s="3"/>
      <c r="L35" s="3"/>
      <c r="M35" s="3"/>
      <c r="N35" s="3"/>
      <c r="O35" s="3"/>
      <c r="P35" s="3"/>
      <c r="Q35" s="3"/>
    </row>
    <row r="36" spans="1:17" x14ac:dyDescent="0.25">
      <c r="A36" s="2" t="s">
        <v>32</v>
      </c>
      <c r="B36" s="3">
        <v>0</v>
      </c>
      <c r="C36" s="3">
        <v>0</v>
      </c>
      <c r="D36" s="3">
        <v>0</v>
      </c>
      <c r="E36" s="3">
        <v>0</v>
      </c>
      <c r="F36" s="3">
        <v>0</v>
      </c>
      <c r="G36" s="3"/>
      <c r="H36" s="3"/>
      <c r="I36" s="3"/>
      <c r="J36" s="3"/>
      <c r="K36" s="3"/>
      <c r="L36" s="3"/>
      <c r="M36" s="3"/>
      <c r="N36" s="3"/>
      <c r="O36" s="3"/>
      <c r="P36" s="3"/>
      <c r="Q36" s="3"/>
    </row>
    <row r="37" spans="1:17" x14ac:dyDescent="0.25">
      <c r="A37" s="2" t="s">
        <v>33</v>
      </c>
      <c r="B37" s="3">
        <v>0</v>
      </c>
      <c r="C37" s="3">
        <v>0</v>
      </c>
      <c r="D37" s="3">
        <v>0</v>
      </c>
      <c r="E37" s="3">
        <v>0</v>
      </c>
      <c r="F37" s="3">
        <v>0</v>
      </c>
      <c r="G37" s="3"/>
      <c r="H37" s="3"/>
      <c r="I37" s="3"/>
      <c r="J37" s="3"/>
      <c r="K37" s="3"/>
      <c r="L37" s="3"/>
      <c r="M37" s="3"/>
      <c r="N37" s="3"/>
      <c r="O37" s="3"/>
      <c r="P37" s="3"/>
      <c r="Q37" s="3"/>
    </row>
    <row r="38" spans="1:17" x14ac:dyDescent="0.25">
      <c r="A38" s="2" t="s">
        <v>34</v>
      </c>
      <c r="B38" s="3">
        <v>0</v>
      </c>
      <c r="C38" s="3">
        <v>0</v>
      </c>
      <c r="D38" s="3">
        <v>0</v>
      </c>
      <c r="E38" s="3">
        <v>0</v>
      </c>
      <c r="F38" s="3">
        <v>0</v>
      </c>
      <c r="G38" s="3"/>
      <c r="H38" s="3"/>
      <c r="I38" s="3"/>
      <c r="J38" s="3"/>
      <c r="K38" s="3"/>
      <c r="L38" s="3"/>
      <c r="M38" s="3"/>
      <c r="N38" s="3"/>
      <c r="O38" s="3"/>
      <c r="P38" s="3"/>
      <c r="Q38" s="3"/>
    </row>
    <row r="39" spans="1:17" x14ac:dyDescent="0.25">
      <c r="A39" s="2" t="s">
        <v>35</v>
      </c>
      <c r="B39" s="3">
        <f>B37-B38</f>
      </c>
      <c r="C39" s="3">
        <f>C37-C38</f>
      </c>
      <c r="D39" s="3">
        <f>D37-D38</f>
      </c>
      <c r="E39" s="3">
        <f>E37-E38</f>
      </c>
      <c r="F39" s="3">
        <f>F37-F38</f>
      </c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22"/>
  <sheetFormatPr defaultRowHeight="15" outlineLevelRow="0" outlineLevelCol="0" x14ac:dyDescent="55"/>
  <cols>
    <col min="1" max="1" width="35" customWidth="1"/>
    <col min="2" max="2" width="49" customWidth="1"/>
    <col min="3" max="3" width="75" customWidth="1"/>
    <col min="4" max="4" width="40" customWidth="1"/>
  </cols>
  <sheetData>
    <row r="1" spans="1:1" x14ac:dyDescent="0.25">
      <c r="A1" s="1" t="s">
        <v>0</v>
      </c>
    </row>
    <row r="3" spans="1:3" x14ac:dyDescent="0.25">
      <c r="A3" t="s">
        <v>36</v>
      </c>
      <c r="B3">
        <f>MATCH("Free Cash Flow to Firm", Financials!A:A, 0)</f>
      </c>
      <c r="C3" t="s">
        <v>37</v>
      </c>
    </row>
    <row r="4" spans="1:2" x14ac:dyDescent="0.25">
      <c r="A4" t="s">
        <v>38</v>
      </c>
      <c r="B4" s="5">
        <f>DATE(YEAR(TODAY()), 12, 31)</f>
      </c>
    </row>
    <row r="5" spans="1:1" x14ac:dyDescent="0.25">
      <c r="A5" s="2"/>
    </row>
    <row r="6" spans="1:3" x14ac:dyDescent="0.25">
      <c r="A6" s="2" t="s">
        <v>39</v>
      </c>
      <c r="B6" s="4"/>
      <c r="C6" t="s">
        <v>40</v>
      </c>
    </row>
    <row r="7" spans="1:3" x14ac:dyDescent="0.25">
      <c r="A7" s="2" t="s">
        <v>41</v>
      </c>
      <c r="B7" s="4"/>
      <c r="C7" t="s">
        <v>42</v>
      </c>
    </row>
    <row r="8" spans="1:4" x14ac:dyDescent="0.25">
      <c r="A8" s="2" t="s">
        <v>43</v>
      </c>
      <c r="C8" t="s">
        <v>44</v>
      </c>
      <c r="D8" t="s">
        <v>45</v>
      </c>
    </row>
    <row r="9" spans="1:4" x14ac:dyDescent="0.25">
      <c r="A9" s="2" t="s">
        <v>46</v>
      </c>
      <c r="B9" s="4"/>
      <c r="C9" t="s">
        <v>47</v>
      </c>
      <c r="D9" t="s">
        <v>48</v>
      </c>
    </row>
    <row r="10" spans="1:4" x14ac:dyDescent="0.25">
      <c r="A10" s="2" t="s">
        <v>49</v>
      </c>
      <c r="B10" s="4"/>
      <c r="C10" t="s">
        <v>50</v>
      </c>
      <c r="D10" t="s">
        <v>51</v>
      </c>
    </row>
    <row r="11" spans="1:2" x14ac:dyDescent="0.25">
      <c r="A11" s="2" t="s">
        <v>52</v>
      </c>
      <c r="B11" s="4">
        <f>B10+B9*B8</f>
      </c>
    </row>
    <row r="12" spans="1:3" x14ac:dyDescent="0.25">
      <c r="A12" s="2" t="s">
        <v>53</v>
      </c>
      <c r="B12" s="4"/>
      <c r="C12" t="s">
        <v>54</v>
      </c>
    </row>
    <row r="13" spans="1:4" x14ac:dyDescent="0.25">
      <c r="A13" s="2" t="s">
        <v>55</v>
      </c>
      <c r="B13" s="3"/>
      <c r="C13" t="s">
        <v>56</v>
      </c>
      <c r="D13" t="s">
        <v>45</v>
      </c>
    </row>
    <row r="14" spans="1:3" x14ac:dyDescent="0.25">
      <c r="A14" s="2" t="s">
        <v>57</v>
      </c>
      <c r="B14" s="3"/>
      <c r="C14" t="s">
        <v>58</v>
      </c>
    </row>
    <row r="15" spans="1:2" x14ac:dyDescent="0.25">
      <c r="A15" t="s">
        <v>59</v>
      </c>
      <c r="B15" s="4">
        <f>IF(B13+B14&lt;&gt;0,((B13/(B13+B14))*B11)+((B14/(B13+B14))*B12*B7), 0)</f>
      </c>
    </row>
    <row r="16" spans="1:2" x14ac:dyDescent="0.25">
      <c r="A16" t="s">
        <v>60</v>
      </c>
      <c r="B16" s="4">
        <f>IF(B4-NOW()&gt;=0, MIN(YEARFRAC(NOW(),B4),1), 0)</f>
      </c>
    </row>
    <row r="17" spans="1:2" x14ac:dyDescent="0.25">
      <c r="A17" t="s">
        <v>61</v>
      </c>
      <c r="B17" s="3">
        <f>INDIRECT(CONCATENATE("Financials!", ADDRESS(B3, LOOKUP(2,1/(Financials!1:1=YEAR(TODAY())),COLUMN(Financials!1:1)))))*B16*1</f>
      </c>
    </row>
    <row r="18" spans="1:2" x14ac:dyDescent="0.25">
      <c r="A18" t="s">
        <v>62</v>
      </c>
      <c r="B18" s="3">
        <f>IF(B15-B6&gt;0, ((LOOKUP(2,1/(INDIRECT(CONCATENATE("Financials!",B3,":",B3))&lt;&gt;""),1000000*INDIRECT(CONCATENATE("Financials!",B3,":",B3)))*(1+B6))/(B15-B6))/(1+B15)^(LOOKUP(2,1/(INDIRECT(CONCATENATE("Financials!",B3,":",B3))&lt;&gt;""),COLUMN(INDIRECT(CONCATENATE("Financials!",B3,":",B3))))-LOOKUP(2,1/(Financials!1:1=YEAR(TODAY())),COLUMN(Financials!1:1))), "ERROR: TGR must be below WACC in order to converge")</f>
      </c>
    </row>
    <row r="19" spans="1:2" x14ac:dyDescent="0.25">
      <c r="A19" t="s">
        <v>63</v>
      </c>
      <c r="B19" s="3">
        <f>IF(B18&lt;&gt; "ERROR: TGR must be below WACC in order to converge", B18+B17/(1+((1+B15)^(1/365)-1))^(B4-NOW())+NPV(B15, INDIRECT(ADDRESS(B3, LOOKUP(2,1/(Financials!1:1=YEAR(TODAY())+1),COLUMN(Financials!1:1))))*((B4+365-NOW())/365),INDIRECT(CONCATENATE("Financials!", ADDRESS(B3, LOOKUP(2,1/(Financials!1:1=YEAR(TODAY())+2),COLUMN(Financials!1:1))), ":", ADDRESS(B3, LOOKUP(2,1/(INDIRECT(CONCATENATE("Financials!",B3,":",B3))&lt;&gt;""),COLUMN(INDIRECT(CONCATENATE("Financials!",B3,":",B3))))))))/(1+((1+B15)^(1/365)-1))^(B4+365- NOW())*1,  " ")</f>
      </c>
    </row>
    <row r="20" spans="1:3" x14ac:dyDescent="0.25">
      <c r="A20" s="6" t="s">
        <v>64</v>
      </c>
      <c r="B20" s="3"/>
      <c r="C20" t="s">
        <v>65</v>
      </c>
    </row>
    <row r="21" spans="1:4" x14ac:dyDescent="0.25">
      <c r="A21" s="2" t="s">
        <v>66</v>
      </c>
      <c r="B21" s="3"/>
      <c r="C21" t="s">
        <v>56</v>
      </c>
      <c r="D21" t="s">
        <v>45</v>
      </c>
    </row>
    <row r="22" spans="1:2" x14ac:dyDescent="0.25">
      <c r="A22" t="s">
        <v>67</v>
      </c>
      <c r="B22" s="7">
        <f>IF(AND(COUNT(B19,B20,B21)&gt;0,B21&lt;&gt;0),(B19+B20)/B21," ")</f>
      </c>
    </row>
  </sheetData>
  <hyperlinks>
    <hyperlink ref="D8" r:id="rId1"/>
    <hyperlink ref="D9" r:id="rId2"/>
    <hyperlink ref="D10" r:id="rId3"/>
    <hyperlink ref="D13" r:id="rId4"/>
    <hyperlink ref="D21" r:id="rId5"/>
  </hyperlink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Financials</vt:lpstr>
      <vt:lpstr>Present Value of a Share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Abel Witz</dc:creator>
  <dc:title/>
  <dc:subject/>
  <dc:description/>
  <cp:keywords/>
  <cp:category/>
  <cp:lastModifiedBy>Abel Witz</cp:lastModifiedBy>
  <cp:lastPrinted>2023-12-22T01:47:12Z</cp:lastPrinted>
  <dcterms:created xsi:type="dcterms:W3CDTF">2023-12-22T01:47:12Z</dcterms:created>
  <dcterms:modified xsi:type="dcterms:W3CDTF">2023-12-22T01:47:12Z</dcterms:modified>
</cp:coreProperties>
</file>