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<sst xmlns="http://schemas.openxmlformats.org/spreadsheetml/2006/main" count="72" uniqueCount="68">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</sst>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5" x14ac:dyDescent="0.25">
      <c r="A1" s="1" t="s">
        <v>0</v>
      </c>
      <c r="B1" s="2">
        <v>2010</v>
      </c>
      <c r="C1" s="2">
        <v>2011</v>
      </c>
      <c r="D1" s="2">
        <v>2012</v>
      </c>
      <c r="E1" s="2">
        <v>2013</v>
      </c>
      <c r="F1" s="2">
        <v>2014</v>
      </c>
      <c r="G1" s="2">
        <v>2015</v>
      </c>
      <c r="H1" s="2">
        <v>2016</v>
      </c>
      <c r="I1" s="2">
        <v>2017</v>
      </c>
      <c r="J1" s="2">
        <v>2018</v>
      </c>
      <c r="K1" s="2">
        <v>2019</v>
      </c>
      <c r="L1" s="2">
        <v>2020</v>
      </c>
      <c r="M1" s="2">
        <v>2021</v>
      </c>
      <c r="N1" s="2">
        <v>2022</v>
      </c>
      <c r="O1" s="2">
        <v>2023</v>
      </c>
      <c r="P1" s="2">
        <v>2024</v>
      </c>
      <c r="Q1" s="2">
        <v>2025</v>
      </c>
      <c r="R1" s="2">
        <v>2026</v>
      </c>
      <c r="S1" s="2">
        <v>2027</v>
      </c>
      <c r="T1" s="2">
        <v>2028</v>
      </c>
      <c r="U1" s="2">
        <v>2029</v>
      </c>
      <c r="V1" s="2">
        <v>2030</v>
      </c>
      <c r="W1" s="2">
        <v>2031</v>
      </c>
      <c r="X1" s="2">
        <v>2032</v>
      </c>
      <c r="Y1" s="2">
        <v>2033</v>
      </c>
    </row>
    <row r="2" spans="1:25" x14ac:dyDescent="0.25">
      <c r="A2" s="2" t="s">
        <v>1</v>
      </c>
      <c r="B2" s="3">
        <v>2959601</v>
      </c>
      <c r="C2" s="3">
        <v>-5930409</v>
      </c>
      <c r="D2" s="3">
        <v>5039321</v>
      </c>
      <c r="E2" s="3">
        <v>-3858102</v>
      </c>
      <c r="F2" s="3">
        <v>2469529</v>
      </c>
      <c r="G2" s="3">
        <v>0</v>
      </c>
      <c r="H2" s="3">
        <v>0</v>
      </c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</row>
    <row r="3" spans="1:25" x14ac:dyDescent="0.25">
      <c r="A3" s="2" t="s">
        <v>2</v>
      </c>
      <c r="B3" s="3">
        <v>-1746445</v>
      </c>
      <c r="C3" s="3">
        <v>-4875791</v>
      </c>
      <c r="D3" s="3">
        <v>-5037214</v>
      </c>
      <c r="E3" s="3">
        <v>-3243600</v>
      </c>
      <c r="F3" s="3">
        <v>4164767</v>
      </c>
      <c r="G3" s="3">
        <v>3112671</v>
      </c>
      <c r="H3" s="3">
        <v>374713</v>
      </c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 s="3">
        <f>X2-X3</f>
      </c>
      <c r="Y4" s="3">
        <f>Y2-Y3</f>
      </c>
      <c r="Z4">
        <f>Z2-Z3</f>
      </c>
    </row>
    <row r="5" spans="1:25" x14ac:dyDescent="0.25">
      <c r="A5" s="2" t="s">
        <v>4</v>
      </c>
      <c r="B5" s="3">
        <v>0</v>
      </c>
      <c r="C5" s="3">
        <v>-1171193</v>
      </c>
      <c r="D5" s="3">
        <v>-683789</v>
      </c>
      <c r="E5" s="3">
        <v>0</v>
      </c>
      <c r="F5" s="3">
        <v>0</v>
      </c>
      <c r="G5" s="3">
        <v>0</v>
      </c>
      <c r="H5" s="3">
        <v>0</v>
      </c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</row>
    <row r="6" spans="1:25" x14ac:dyDescent="0.25">
      <c r="A6" s="2" t="s">
        <v>5</v>
      </c>
      <c r="B6" s="3">
        <v>-1271350</v>
      </c>
      <c r="C6" s="3">
        <v>-1192318</v>
      </c>
      <c r="D6" s="3">
        <v>-1167839</v>
      </c>
      <c r="E6" s="3">
        <v>-985354</v>
      </c>
      <c r="F6" s="3">
        <v>-871984</v>
      </c>
      <c r="G6" s="3">
        <v>-548758</v>
      </c>
      <c r="H6" s="3">
        <v>-4607159</v>
      </c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</row>
    <row r="7" spans="1:25" x14ac:dyDescent="0.25">
      <c r="A7" s="2" t="s">
        <v>6</v>
      </c>
      <c r="B7" s="3">
        <v>0</v>
      </c>
      <c r="C7" s="3">
        <v>1171193</v>
      </c>
      <c r="D7" s="3">
        <v>683789</v>
      </c>
      <c r="E7" s="3">
        <v>0</v>
      </c>
      <c r="F7" s="3">
        <v>0</v>
      </c>
      <c r="G7" s="3">
        <v>0</v>
      </c>
      <c r="H7" s="3">
        <v>0</v>
      </c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 s="3">
        <f>X5+X6+X7</f>
      </c>
      <c r="Y8" s="3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 s="3">
        <f>X4-X8</f>
      </c>
      <c r="Y9" s="3">
        <f>Y4-Y8</f>
      </c>
      <c r="Z9">
        <f>Z4-Z8</f>
      </c>
    </row>
    <row r="10" spans="1:26" x14ac:dyDescent="0.25">
      <c r="A10" s="2" t="s">
        <v>9</v>
      </c>
      <c r="B10" s="3">
        <v>3684</v>
      </c>
      <c r="C10" s="3">
        <v>2929</v>
      </c>
      <c r="D10" s="3">
        <v>1649</v>
      </c>
      <c r="E10" s="3">
        <v>994</v>
      </c>
      <c r="F10" s="3">
        <v>-282885</v>
      </c>
      <c r="G10" s="3">
        <v>-262911</v>
      </c>
      <c r="H10" s="3">
        <v>-392294</v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5" x14ac:dyDescent="0.25">
      <c r="A11" s="2" t="s">
        <v>10</v>
      </c>
      <c r="B11" s="3">
        <v>0</v>
      </c>
      <c r="C11" s="3">
        <v>95149</v>
      </c>
      <c r="D11" s="3">
        <v>-210849</v>
      </c>
      <c r="E11" s="3">
        <v>-152759</v>
      </c>
      <c r="F11" s="3">
        <v>0</v>
      </c>
      <c r="G11" s="3">
        <v>0</v>
      </c>
      <c r="H11" s="3">
        <v>0</v>
      </c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</row>
    <row r="12" spans="1:25" x14ac:dyDescent="0.25">
      <c r="A12" s="2" t="s">
        <v>11</v>
      </c>
      <c r="B12" s="3">
        <v>-4441990</v>
      </c>
      <c r="C12" s="3">
        <v>-2986339</v>
      </c>
      <c r="D12" s="3">
        <v>-13475986</v>
      </c>
      <c r="E12" s="3">
        <v>-3138234</v>
      </c>
      <c r="F12" s="3">
        <v>-1289716</v>
      </c>
      <c r="G12" s="3">
        <v>-1097386</v>
      </c>
      <c r="H12" s="3">
        <v>-9213870</v>
      </c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 s="3">
        <f>X10-X11+X12</f>
      </c>
      <c r="Y13" s="3">
        <f>Y10-Y11+Y12</f>
      </c>
      <c r="Z13">
        <f>Z10-Z11+Z12</f>
      </c>
    </row>
    <row r="14" spans="1:25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 s="3">
        <f>X9+X13-X14</f>
      </c>
      <c r="Y15" s="3">
        <f>Y9+Y13-Y14</f>
      </c>
      <c r="Z15">
        <f>Z9+Z13-Z14</f>
      </c>
    </row>
    <row r="16" spans="1:25" x14ac:dyDescent="0.25">
      <c r="A16" s="2" t="s">
        <v>15</v>
      </c>
      <c r="B16" s="3">
        <v>-949645</v>
      </c>
      <c r="C16" s="3">
        <v>-323317</v>
      </c>
      <c r="D16" s="3">
        <v>-322091</v>
      </c>
      <c r="E16" s="3">
        <v>-13693</v>
      </c>
      <c r="F16" s="3">
        <v>0</v>
      </c>
      <c r="G16" s="3">
        <v>0</v>
      </c>
      <c r="H16" s="3">
        <v>0</v>
      </c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</row>
    <row r="17" spans="1:25" x14ac:dyDescent="0.25">
      <c r="A17" s="2" t="s">
        <v>16</v>
      </c>
      <c r="B17" s="3">
        <v>0</v>
      </c>
      <c r="C17" s="3">
        <v>0</v>
      </c>
      <c r="D17" s="3">
        <v>0</v>
      </c>
      <c r="E17" s="3">
        <v>0</v>
      </c>
      <c r="F17" s="3">
        <v>0</v>
      </c>
      <c r="G17" s="3">
        <v>0</v>
      </c>
      <c r="H17" s="3">
        <v>0</v>
      </c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</row>
    <row r="18" spans="1:25" x14ac:dyDescent="0.25">
      <c r="A18" s="2" t="s">
        <v>17</v>
      </c>
      <c r="B18" s="3">
        <v>0</v>
      </c>
      <c r="C18" s="3">
        <v>0</v>
      </c>
      <c r="D18" s="3">
        <v>0</v>
      </c>
      <c r="E18" s="3">
        <v>0</v>
      </c>
      <c r="F18" s="3">
        <v>0</v>
      </c>
      <c r="G18" s="3">
        <v>0</v>
      </c>
      <c r="H18" s="3">
        <v>0</v>
      </c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</row>
    <row r="19" spans="1:25" x14ac:dyDescent="0.25">
      <c r="A19" s="2" t="s">
        <v>18</v>
      </c>
      <c r="B19" s="3">
        <v>0</v>
      </c>
      <c r="C19" s="3">
        <v>0</v>
      </c>
      <c r="D19" s="3">
        <v>0</v>
      </c>
      <c r="E19" s="3">
        <v>0</v>
      </c>
      <c r="F19" s="3">
        <v>0</v>
      </c>
      <c r="G19" s="3">
        <v>0</v>
      </c>
      <c r="H19" s="3">
        <v>0</v>
      </c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 s="3">
        <f>X15-X16+X17-X18+X19</f>
      </c>
      <c r="Y20" s="3">
        <f>Y15-Y16+Y17-Y18+Y19</f>
      </c>
      <c r="Z20">
        <f>Z15-Z16+Z17-Z18+Z19</f>
      </c>
    </row>
    <row r="21" spans="1:25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</row>
    <row r="22" spans="1:25" x14ac:dyDescent="0.25">
      <c r="A22" s="2" t="s">
        <v>20</v>
      </c>
      <c r="B22" s="3">
        <v>46450</v>
      </c>
      <c r="C22" s="3">
        <v>210518</v>
      </c>
      <c r="D22" s="3">
        <v>431710</v>
      </c>
      <c r="E22" s="3">
        <v>421982</v>
      </c>
      <c r="F22" s="3">
        <v>414189</v>
      </c>
      <c r="G22" s="3">
        <v>497347</v>
      </c>
      <c r="H22" s="3">
        <v>446649</v>
      </c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</row>
    <row r="23" spans="1:25" x14ac:dyDescent="0.25">
      <c r="A23" s="2" t="s">
        <v>21</v>
      </c>
      <c r="B23" s="3">
        <v>0</v>
      </c>
      <c r="C23" s="3">
        <v>0</v>
      </c>
      <c r="D23" s="3">
        <v>0</v>
      </c>
      <c r="E23" s="3">
        <v>0</v>
      </c>
      <c r="F23" s="3">
        <v>0</v>
      </c>
      <c r="G23" s="3">
        <v>0</v>
      </c>
      <c r="H23" s="3">
        <v>0</v>
      </c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</row>
    <row r="24" spans="1:25" x14ac:dyDescent="0.25">
      <c r="A24" s="2" t="s">
        <v>22</v>
      </c>
      <c r="B24" s="3">
        <v>-129881</v>
      </c>
      <c r="C24" s="3">
        <v>1401777</v>
      </c>
      <c r="D24" s="3">
        <v>1313980</v>
      </c>
      <c r="E24" s="3">
        <v>4644457</v>
      </c>
      <c r="F24" s="3">
        <v>2083018</v>
      </c>
      <c r="G24" s="3">
        <v>1432537</v>
      </c>
      <c r="H24" s="3">
        <v>2920953</v>
      </c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 s="3">
        <f>X20+X22+X23+X24</f>
      </c>
      <c r="Y25" s="3">
        <f>Y20+Y22+Y23+Y24</f>
      </c>
      <c r="Z25">
        <f>Z20+Z22+Z23+Z24</f>
      </c>
    </row>
    <row r="26" spans="1:25" x14ac:dyDescent="0.25">
      <c r="A26" s="2" t="s">
        <v>24</v>
      </c>
      <c r="B26" s="3">
        <v>-148055</v>
      </c>
      <c r="C26" s="3">
        <v>-3168902</v>
      </c>
      <c r="D26" s="3">
        <v>617219</v>
      </c>
      <c r="E26" s="3">
        <v>6150094</v>
      </c>
      <c r="F26" s="3">
        <v>-4203256</v>
      </c>
      <c r="G26" s="3">
        <v>314972</v>
      </c>
      <c r="H26" s="3">
        <v>3128</v>
      </c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 s="3">
        <f>X25-X26</f>
      </c>
      <c r="Y27" s="3">
        <f>Y25-Y26</f>
      </c>
      <c r="Z27">
        <f>Z25-Z26</f>
      </c>
    </row>
    <row r="28" spans="1:25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 s="4">
        <f>IF(AND(COUNT(W2,X2)=2, X2&lt;&gt;0, W2&lt;&gt;0), X2/W2-1, " ")</f>
      </c>
      <c r="Y29" s="4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 s="4">
        <f>IF(AND(COUNT(X2,X4)=2, X2&lt;&gt;0), X4/X2, " ")</f>
      </c>
      <c r="Y30" s="4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 s="4">
        <f>IF(AND(COUNT(X2,X9)=2, X2&lt;&gt;0), X9/X2, " ")</f>
      </c>
      <c r="Y31" s="4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 s="4">
        <f>IF(AND(COUNT(X15,X15)=2, X15&lt;&gt;0), X16/X15, " ")</f>
      </c>
      <c r="Y32" s="4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 s="4">
        <f>IF(AND(COUNT(X20,X2)=2, X2&lt;&gt;0), X20/X2, " ")</f>
      </c>
      <c r="Y33" s="4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 s="4">
        <f>IF(AND(COUNT(W27,X27)=2, X27&lt;&gt;0, W2&lt;&gt;0), X27/W27-1, " ")</f>
      </c>
      <c r="Y34" s="4">
        <f>IF(AND(COUNT(X27,Y27)=2, Y27&lt;&gt;0, X2&lt;&gt;0), Y27/X27-1, " ")</f>
      </c>
      <c r="Z34">
        <f>IF(AND(COUNT(Y27,Z27)=2, Z27&lt;&gt;0, Y2&lt;&gt;0), Z27/Y27-1, " ")</f>
      </c>
    </row>
    <row r="35" spans="1:25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</row>
    <row r="36" spans="1:25" x14ac:dyDescent="0.25">
      <c r="A36" s="2" t="s">
        <v>32</v>
      </c>
      <c r="B36" s="3">
        <v>344750</v>
      </c>
      <c r="C36" s="3">
        <v>3364768</v>
      </c>
      <c r="D36" s="3">
        <v>3185337</v>
      </c>
      <c r="E36" s="3">
        <v>2504611</v>
      </c>
      <c r="F36" s="3">
        <v>2940136</v>
      </c>
      <c r="G36" s="3">
        <v>2296636</v>
      </c>
      <c r="H36" s="3">
        <v>1503515</v>
      </c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</row>
    <row r="37" spans="1:25" x14ac:dyDescent="0.25">
      <c r="A37" s="2" t="s">
        <v>33</v>
      </c>
      <c r="B37" s="3">
        <v>7590216</v>
      </c>
      <c r="C37" s="3">
        <v>15367117</v>
      </c>
      <c r="D37" s="3">
        <v>14718496</v>
      </c>
      <c r="E37" s="3">
        <v>17103327</v>
      </c>
      <c r="F37" s="3">
        <v>9645859</v>
      </c>
      <c r="G37" s="3">
        <v>6638296</v>
      </c>
      <c r="H37" s="3">
        <v>2869344</v>
      </c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</row>
    <row r="38" spans="1:25" x14ac:dyDescent="0.25">
      <c r="A38" s="2" t="s">
        <v>34</v>
      </c>
      <c r="B38" s="3">
        <v>4195307</v>
      </c>
      <c r="C38" s="3">
        <v>14296682</v>
      </c>
      <c r="D38" s="3">
        <v>9256589</v>
      </c>
      <c r="E38" s="3">
        <v>13530010</v>
      </c>
      <c r="F38" s="3">
        <v>8454981</v>
      </c>
      <c r="G38" s="3">
        <v>9283671</v>
      </c>
      <c r="H38" s="3">
        <v>11385527</v>
      </c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</row>
    <row r="39" spans="1:25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>
        <f>E37-E38</f>
      </c>
      <c r="F39" s="3">
        <f>F37-F38</f>
      </c>
      <c r="G39" s="3">
        <f>G37-G38</f>
      </c>
      <c r="H39" s="3">
        <f>H37-H38</f>
      </c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2023-12-22T01:46:05Z</cp:lastPrinted>
  <dcterms:created xsi:type="dcterms:W3CDTF">2023-12-22T01:46:05Z</dcterms:created>
  <dcterms:modified xsi:type="dcterms:W3CDTF">2023-12-22T01:46:05Z</dcterms:modified>
</cp:coreProperties>
</file>