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<sst xmlns="http://schemas.openxmlformats.org/spreadsheetml/2006/main" count="72" uniqueCount="68">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</sst>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;-#,##0"/>
    <numFmt numFmtId="165" formatCode="dd/mm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0" fontId="2" fillId="0" borderId="0" xfId="0" applyFont="1"/>
    <xf numFmtId="164" fontId="0" fillId="0" borderId="0" xfId="0" applyNumberForma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4" x14ac:dyDescent="0.25">
      <c r="A1" s="1" t="s">
        <v>0</v>
      </c>
      <c r="B1" s="2">
        <v>2021</v>
      </c>
      <c r="C1" s="2">
        <v>2022</v>
      </c>
      <c r="D1" s="2">
        <v>2023</v>
      </c>
      <c r="E1" s="2">
        <v>2024</v>
      </c>
      <c r="F1" s="2">
        <v>2025</v>
      </c>
      <c r="G1" s="2">
        <v>2026</v>
      </c>
      <c r="H1" s="2">
        <v>2027</v>
      </c>
      <c r="I1" s="2">
        <v>2028</v>
      </c>
      <c r="J1" s="2">
        <v>2029</v>
      </c>
      <c r="K1" s="2">
        <v>2030</v>
      </c>
      <c r="L1" s="2">
        <v>2031</v>
      </c>
      <c r="M1" s="2">
        <v>2032</v>
      </c>
      <c r="N1" s="2">
        <v>2033</v>
      </c>
    </row>
    <row r="2" spans="1:14" x14ac:dyDescent="0.25">
      <c r="A2" s="2" t="s">
        <v>1</v>
      </c>
      <c r="B2" s="3">
        <v>14600560</v>
      </c>
      <c r="C2" s="3">
        <v>10648175</v>
      </c>
      <c r="D2" s="3"/>
      <c r="E2" s="3"/>
      <c r="F2" s="3"/>
      <c r="G2" s="3"/>
      <c r="H2" s="3"/>
      <c r="I2" s="3"/>
      <c r="J2" s="3"/>
      <c r="K2" s="3"/>
      <c r="L2" s="3"/>
      <c r="M2" s="3"/>
      <c r="N2" s="3"/>
    </row>
    <row r="3" spans="1:14" x14ac:dyDescent="0.25">
      <c r="A3" s="2" t="s">
        <v>2</v>
      </c>
      <c r="B3" s="3">
        <v>15784146</v>
      </c>
      <c r="C3" s="3">
        <v>9149717</v>
      </c>
      <c r="D3" s="3"/>
      <c r="E3" s="3"/>
      <c r="F3" s="3"/>
      <c r="G3" s="3"/>
      <c r="H3" s="3"/>
      <c r="I3" s="3"/>
      <c r="J3" s="3"/>
      <c r="K3" s="3"/>
      <c r="L3" s="3"/>
      <c r="M3" s="3"/>
      <c r="N3" s="3"/>
    </row>
    <row r="4" spans="1:26" x14ac:dyDescent="0.25">
      <c r="A4" s="2" t="s">
        <v>3</v>
      </c>
      <c r="B4" s="3">
        <f>B2-B3</f>
      </c>
      <c r="C4" s="3">
        <f>C2-C3</f>
      </c>
      <c r="D4" s="3">
        <f>D2-D3</f>
      </c>
      <c r="E4" s="3">
        <f>E2-E3</f>
      </c>
      <c r="F4" s="3">
        <f>F2-F3</f>
      </c>
      <c r="G4" s="3">
        <f>G2-G3</f>
      </c>
      <c r="H4" s="3">
        <f>H2-H3</f>
      </c>
      <c r="I4" s="3">
        <f>I2-I3</f>
      </c>
      <c r="J4" s="3">
        <f>J2-J3</f>
      </c>
      <c r="K4" s="3">
        <f>K2-K3</f>
      </c>
      <c r="L4" s="3">
        <f>L2-L3</f>
      </c>
      <c r="M4" s="3">
        <f>M2-M3</f>
      </c>
      <c r="N4" s="3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4" x14ac:dyDescent="0.25">
      <c r="A5" s="2" t="s">
        <v>4</v>
      </c>
      <c r="B5" s="3">
        <v>0</v>
      </c>
      <c r="C5" s="3">
        <v>0</v>
      </c>
      <c r="D5" s="3"/>
      <c r="E5" s="3"/>
      <c r="F5" s="3"/>
      <c r="G5" s="3"/>
      <c r="H5" s="3"/>
      <c r="I5" s="3"/>
      <c r="J5" s="3"/>
      <c r="K5" s="3"/>
      <c r="L5" s="3"/>
      <c r="M5" s="3"/>
      <c r="N5" s="3"/>
    </row>
    <row r="6" spans="1:14" x14ac:dyDescent="0.25">
      <c r="A6" s="2" t="s">
        <v>5</v>
      </c>
      <c r="B6" s="3">
        <v>1501209</v>
      </c>
      <c r="C6" s="3">
        <v>985729</v>
      </c>
      <c r="D6" s="3"/>
      <c r="E6" s="3"/>
      <c r="F6" s="3"/>
      <c r="G6" s="3"/>
      <c r="H6" s="3"/>
      <c r="I6" s="3"/>
      <c r="J6" s="3"/>
      <c r="K6" s="3"/>
      <c r="L6" s="3"/>
      <c r="M6" s="3"/>
      <c r="N6" s="3"/>
    </row>
    <row r="7" spans="1:14" x14ac:dyDescent="0.25">
      <c r="A7" s="2" t="s">
        <v>6</v>
      </c>
      <c r="B7" s="3">
        <v>239750</v>
      </c>
      <c r="C7" s="3">
        <v>0</v>
      </c>
      <c r="D7" s="3"/>
      <c r="E7" s="3"/>
      <c r="F7" s="3"/>
      <c r="G7" s="3"/>
      <c r="H7" s="3"/>
      <c r="I7" s="3"/>
      <c r="J7" s="3"/>
      <c r="K7" s="3"/>
      <c r="L7" s="3"/>
      <c r="M7" s="3"/>
      <c r="N7" s="3"/>
    </row>
    <row r="8" spans="1:26" x14ac:dyDescent="0.25">
      <c r="A8" s="2" t="s">
        <v>7</v>
      </c>
      <c r="B8" s="3">
        <f>B5+B6+B7</f>
      </c>
      <c r="C8" s="3">
        <f>C5+C6+C7</f>
      </c>
      <c r="D8" s="3">
        <f>D5+D6+D7</f>
      </c>
      <c r="E8" s="3">
        <f>E5+E6+E7</f>
      </c>
      <c r="F8" s="3">
        <f>F5+F6+F7</f>
      </c>
      <c r="G8" s="3">
        <f>G5+G6+G7</f>
      </c>
      <c r="H8" s="3">
        <f>H5+H6+H7</f>
      </c>
      <c r="I8" s="3">
        <f>I5+I6+I7</f>
      </c>
      <c r="J8" s="3">
        <f>J5+J6+J7</f>
      </c>
      <c r="K8" s="3">
        <f>K5+K6+K7</f>
      </c>
      <c r="L8" s="3">
        <f>L5+L6+L7</f>
      </c>
      <c r="M8" s="3">
        <f>M5+M6+M7</f>
      </c>
      <c r="N8" s="3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s="2" t="s">
        <v>8</v>
      </c>
      <c r="B9" s="3">
        <f>B4-B8</f>
      </c>
      <c r="C9" s="3">
        <f>C4-C8</f>
      </c>
      <c r="D9" s="3">
        <f>D4-D8</f>
      </c>
      <c r="E9" s="3">
        <f>E4-E8</f>
      </c>
      <c r="F9" s="3">
        <f>F4-F8</f>
      </c>
      <c r="G9" s="3">
        <f>G4-G8</f>
      </c>
      <c r="H9" s="3">
        <f>H4-H8</f>
      </c>
      <c r="I9" s="3">
        <f>I4-I8</f>
      </c>
      <c r="J9" s="3">
        <f>J4-J8</f>
      </c>
      <c r="K9" s="3">
        <f>K4-K8</f>
      </c>
      <c r="L9" s="3">
        <f>L4-L8</f>
      </c>
      <c r="M9" s="3">
        <f>M4-M8</f>
      </c>
      <c r="N9" s="3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s="2" t="s">
        <v>9</v>
      </c>
      <c r="B10" s="3">
        <v>-244980</v>
      </c>
      <c r="C10" s="3">
        <v>255681</v>
      </c>
      <c r="D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E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 s="3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4" x14ac:dyDescent="0.25">
      <c r="A11" s="2" t="s">
        <v>10</v>
      </c>
      <c r="B11" s="3">
        <v>183543</v>
      </c>
      <c r="C11" s="3">
        <v>187528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</row>
    <row r="12" spans="1:14" x14ac:dyDescent="0.25">
      <c r="A12" s="2" t="s">
        <v>11</v>
      </c>
      <c r="B12" s="3">
        <v>183543</v>
      </c>
      <c r="C12" s="3">
        <v>187528</v>
      </c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</row>
    <row r="13" spans="1:26" x14ac:dyDescent="0.25">
      <c r="A13" s="2" t="s">
        <v>12</v>
      </c>
      <c r="B13" s="3">
        <f>B10-B11+B12</f>
      </c>
      <c r="C13" s="3">
        <f>C10-C11+C12</f>
      </c>
      <c r="D13" s="3">
        <f>D10-D11+D12</f>
      </c>
      <c r="E13" s="3">
        <f>E10-E11+E12</f>
      </c>
      <c r="F13" s="3">
        <f>F10-F11+F12</f>
      </c>
      <c r="G13" s="3">
        <f>G10-G11+G12</f>
      </c>
      <c r="H13" s="3">
        <f>H10-H11+H12</f>
      </c>
      <c r="I13" s="3">
        <f>I10-I11+I12</f>
      </c>
      <c r="J13" s="3">
        <f>J10-J11+J12</f>
      </c>
      <c r="K13" s="3">
        <f>K10-K11+K12</f>
      </c>
      <c r="L13" s="3">
        <f>L10-L11+L12</f>
      </c>
      <c r="M13" s="3">
        <f>M10-M11+M12</f>
      </c>
      <c r="N13" s="3">
        <f>N10-N11+N12</f>
      </c>
      <c r="O1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4" x14ac:dyDescent="0.25">
      <c r="A14" s="2" t="s">
        <v>13</v>
      </c>
      <c r="B14" s="3"/>
      <c r="C14" s="3"/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</row>
    <row r="15" spans="1:26" x14ac:dyDescent="0.25">
      <c r="A15" s="2" t="s">
        <v>14</v>
      </c>
      <c r="B15" s="3">
        <f>B9+B13-B14</f>
      </c>
      <c r="C15" s="3">
        <f>C9+C13-C14</f>
      </c>
      <c r="D15" s="3">
        <f>D9+D13-D14</f>
      </c>
      <c r="E15" s="3">
        <f>E9+E13-E14</f>
      </c>
      <c r="F15" s="3">
        <f>F9+F13-F14</f>
      </c>
      <c r="G15" s="3">
        <f>G9+G13-G14</f>
      </c>
      <c r="H15" s="3">
        <f>H9+H13-H14</f>
      </c>
      <c r="I15" s="3">
        <f>I9+I13-I14</f>
      </c>
      <c r="J15" s="3">
        <f>J9+J13-J14</f>
      </c>
      <c r="K15" s="3">
        <f>K9+K13-K14</f>
      </c>
      <c r="L15" s="3">
        <f>L9+L13-L14</f>
      </c>
      <c r="M15" s="3">
        <f>M9+M13-M14</f>
      </c>
      <c r="N15" s="3">
        <f>N9+N13-N14</f>
      </c>
      <c r="O15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4" x14ac:dyDescent="0.25">
      <c r="A16" s="2" t="s">
        <v>15</v>
      </c>
      <c r="B16" s="3">
        <v>0</v>
      </c>
      <c r="C16" s="3">
        <v>11029</v>
      </c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</row>
    <row r="17" spans="1:14" x14ac:dyDescent="0.25">
      <c r="A17" s="2" t="s">
        <v>16</v>
      </c>
      <c r="B17" s="3">
        <v>0</v>
      </c>
      <c r="C17" s="3">
        <v>0</v>
      </c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</row>
    <row r="18" spans="1:14" x14ac:dyDescent="0.25">
      <c r="A18" s="2" t="s">
        <v>17</v>
      </c>
      <c r="B18" s="3">
        <v>0</v>
      </c>
      <c r="C18" s="3">
        <v>0</v>
      </c>
      <c r="D18" s="3"/>
      <c r="E18" s="3"/>
      <c r="F18" s="3"/>
      <c r="G18" s="3"/>
      <c r="H18" s="3"/>
      <c r="I18" s="3"/>
      <c r="J18" s="3"/>
      <c r="K18" s="3"/>
      <c r="L18" s="3"/>
      <c r="M18" s="3"/>
      <c r="N18" s="3"/>
    </row>
    <row r="19" spans="1:14" x14ac:dyDescent="0.25">
      <c r="A19" s="2" t="s">
        <v>18</v>
      </c>
      <c r="B19" s="3">
        <v>0</v>
      </c>
      <c r="C19" s="3">
        <v>0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</row>
    <row r="20" spans="1:26" x14ac:dyDescent="0.25">
      <c r="A20" s="2" t="s">
        <v>19</v>
      </c>
      <c r="B20" s="3">
        <f>B15-B16+B17-B18+B19</f>
      </c>
      <c r="C20" s="3">
        <f>C15-C16+C17-C18+C19</f>
      </c>
      <c r="D20" s="3">
        <f>D15-D16+D17-D18+D19</f>
      </c>
      <c r="E20" s="3">
        <f>E15-E16+E17-E18+E19</f>
      </c>
      <c r="F20" s="3">
        <f>F15-F16+F17-F18+F19</f>
      </c>
      <c r="G20" s="3">
        <f>G15-G16+G17-G18+G19</f>
      </c>
      <c r="H20" s="3">
        <f>H15-H16+H17-H18+H19</f>
      </c>
      <c r="I20" s="3">
        <f>I15-I16+I17-I18+I19</f>
      </c>
      <c r="J20" s="3">
        <f>J15-J16+J17-J18+J19</f>
      </c>
      <c r="K20" s="3">
        <f>K15-K16+K17-K18+K19</f>
      </c>
      <c r="L20" s="3">
        <f>L15-L16+L17-L18+L19</f>
      </c>
      <c r="M20" s="3">
        <f>M15-M16+M17-M18+M19</f>
      </c>
      <c r="N20" s="3">
        <f>N15-N16+N17-N18+N19</f>
      </c>
      <c r="O20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1" spans="1:14" x14ac:dyDescent="0.25">
      <c r="A21" s="2"/>
      <c r="B21" s="3"/>
      <c r="C21" s="3"/>
      <c r="D21" s="3"/>
      <c r="E21" s="3"/>
      <c r="F21" s="3"/>
      <c r="G21" s="3"/>
      <c r="H21" s="3"/>
      <c r="I21" s="3"/>
      <c r="J21" s="3"/>
      <c r="K21" s="3"/>
      <c r="L21" s="3"/>
      <c r="M21" s="3"/>
      <c r="N21" s="3"/>
    </row>
    <row r="22" spans="1:14" x14ac:dyDescent="0.25">
      <c r="A22" s="2" t="s">
        <v>20</v>
      </c>
      <c r="B22" s="3">
        <v>554169</v>
      </c>
      <c r="C22" s="3">
        <v>614744</v>
      </c>
      <c r="D22" s="3"/>
      <c r="E22" s="3"/>
      <c r="F22" s="3"/>
      <c r="G22" s="3"/>
      <c r="H22" s="3"/>
      <c r="I22" s="3"/>
      <c r="J22" s="3"/>
      <c r="K22" s="3"/>
      <c r="L22" s="3"/>
      <c r="M22" s="3"/>
      <c r="N22" s="3"/>
    </row>
    <row r="23" spans="1:14" x14ac:dyDescent="0.25">
      <c r="A23" s="2" t="s">
        <v>21</v>
      </c>
      <c r="B23" s="3">
        <v>239750</v>
      </c>
      <c r="C23" s="3">
        <v>0</v>
      </c>
      <c r="D23" s="3"/>
      <c r="E23" s="3"/>
      <c r="F23" s="3"/>
      <c r="G23" s="3"/>
      <c r="H23" s="3"/>
      <c r="I23" s="3"/>
      <c r="J23" s="3"/>
      <c r="K23" s="3"/>
      <c r="L23" s="3"/>
      <c r="M23" s="3"/>
      <c r="N23" s="3"/>
    </row>
    <row r="24" spans="1:14" x14ac:dyDescent="0.25">
      <c r="A24" s="2" t="s">
        <v>22</v>
      </c>
      <c r="B24" s="3">
        <v>4557455</v>
      </c>
      <c r="C24" s="3">
        <v>-119777</v>
      </c>
      <c r="D24" s="3"/>
      <c r="E24" s="3"/>
      <c r="F24" s="3"/>
      <c r="G24" s="3"/>
      <c r="H24" s="3"/>
      <c r="I24" s="3"/>
      <c r="J24" s="3"/>
      <c r="K24" s="3"/>
      <c r="L24" s="3"/>
      <c r="M24" s="3"/>
      <c r="N24" s="3"/>
    </row>
    <row r="25" spans="1:26" x14ac:dyDescent="0.25">
      <c r="A25" s="2" t="s">
        <v>23</v>
      </c>
      <c r="B25" s="3">
        <f>B20+B22+B23+B24</f>
      </c>
      <c r="C25" s="3">
        <f>C20+C22+C23+C24</f>
      </c>
      <c r="D25" s="3">
        <f>D20+D22+D23+D24</f>
      </c>
      <c r="E25" s="3">
        <f>E20+E22+E23+E24</f>
      </c>
      <c r="F25" s="3">
        <f>F20+F22+F23+F24</f>
      </c>
      <c r="G25" s="3">
        <f>G20+G22+G23+G24</f>
      </c>
      <c r="H25" s="3">
        <f>H20+H22+H23+H24</f>
      </c>
      <c r="I25" s="3">
        <f>I20+I22+I23+I24</f>
      </c>
      <c r="J25" s="3">
        <f>J20+J22+J23+J24</f>
      </c>
      <c r="K25" s="3">
        <f>K20+K22+K23+K24</f>
      </c>
      <c r="L25" s="3">
        <f>L20+L22+L23+L24</f>
      </c>
      <c r="M25" s="3">
        <f>M20+M22+M23+M24</f>
      </c>
      <c r="N25" s="3">
        <f>N20+N22+N23+N24</f>
      </c>
      <c r="O25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4" x14ac:dyDescent="0.25">
      <c r="A26" s="2" t="s">
        <v>24</v>
      </c>
      <c r="B26" s="3">
        <v>2729105</v>
      </c>
      <c r="C26" s="3">
        <v>2580555</v>
      </c>
      <c r="D26" s="3"/>
      <c r="E26" s="3"/>
      <c r="F26" s="3"/>
      <c r="G26" s="3"/>
      <c r="H26" s="3"/>
      <c r="I26" s="3"/>
      <c r="J26" s="3"/>
      <c r="K26" s="3"/>
      <c r="L26" s="3"/>
      <c r="M26" s="3"/>
      <c r="N26" s="3"/>
    </row>
    <row r="27" spans="1:26" x14ac:dyDescent="0.25">
      <c r="A27" s="2" t="s">
        <v>25</v>
      </c>
      <c r="B27" s="3">
        <f>B25-B26</f>
      </c>
      <c r="C27" s="3">
        <f>C25-C26</f>
      </c>
      <c r="D27" s="3">
        <f>D25-D26</f>
      </c>
      <c r="E27" s="3">
        <f>E25-E26</f>
      </c>
      <c r="F27" s="3">
        <f>F25-F26</f>
      </c>
      <c r="G27" s="3">
        <f>G25-G26</f>
      </c>
      <c r="H27" s="3">
        <f>H25-H26</f>
      </c>
      <c r="I27" s="3">
        <f>I25-I26</f>
      </c>
      <c r="J27" s="3">
        <f>J25-J26</f>
      </c>
      <c r="K27" s="3">
        <f>K25-K26</f>
      </c>
      <c r="L27" s="3">
        <f>L25-L26</f>
      </c>
      <c r="M27" s="3">
        <f>M25-M26</f>
      </c>
      <c r="N27" s="3">
        <f>N25-N26</f>
      </c>
      <c r="O27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8" spans="1:14" x14ac:dyDescent="0.25">
      <c r="A28" s="2"/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</row>
    <row r="29" spans="1:26" x14ac:dyDescent="0.25">
      <c r="A29" s="2" t="s">
        <v>26</v>
      </c>
      <c r="B29" s="4"/>
      <c r="C29" s="4">
        <f>IF(AND(COUNT(B2,C2)=2, C2&lt;&gt;0, B2&lt;&gt;0), C2/B2-1, " ")</f>
      </c>
      <c r="D29" s="4">
        <f>IF(AND(COUNT(C2,D2)=2, D2&lt;&gt;0, C2&lt;&gt;0), D2/C2-1, " ")</f>
      </c>
      <c r="E29" s="4">
        <f>IF(AND(COUNT(D2,E2)=2, E2&lt;&gt;0, D2&lt;&gt;0), E2/D2-1, " ")</f>
      </c>
      <c r="F29" s="4">
        <f>IF(AND(COUNT(E2,F2)=2, F2&lt;&gt;0, E2&lt;&gt;0), F2/E2-1, " ")</f>
      </c>
      <c r="G29" s="4">
        <f>IF(AND(COUNT(F2,G2)=2, G2&lt;&gt;0, F2&lt;&gt;0), G2/F2-1, " ")</f>
      </c>
      <c r="H29" s="4">
        <f>IF(AND(COUNT(G2,H2)=2, H2&lt;&gt;0, G2&lt;&gt;0), H2/G2-1, " ")</f>
      </c>
      <c r="I29" s="4">
        <f>IF(AND(COUNT(H2,I2)=2, I2&lt;&gt;0, H2&lt;&gt;0), I2/H2-1, " ")</f>
      </c>
      <c r="J29" s="4">
        <f>IF(AND(COUNT(I2,J2)=2, J2&lt;&gt;0, I2&lt;&gt;0), J2/I2-1, " ")</f>
      </c>
      <c r="K29" s="4">
        <f>IF(AND(COUNT(J2,K2)=2, K2&lt;&gt;0, J2&lt;&gt;0), K2/J2-1, " ")</f>
      </c>
      <c r="L29" s="4">
        <f>IF(AND(COUNT(K2,L2)=2, L2&lt;&gt;0, K2&lt;&gt;0), L2/K2-1, " ")</f>
      </c>
      <c r="M29" s="4">
        <f>IF(AND(COUNT(L2,M2)=2, M2&lt;&gt;0, L2&lt;&gt;0), M2/L2-1, " ")</f>
      </c>
      <c r="N29" s="4">
        <f>IF(AND(COUNT(M2,N2)=2, N2&lt;&gt;0, M2&lt;&gt;0), N2/M2-1, " ")</f>
      </c>
      <c r="O29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s="2" t="s">
        <v>27</v>
      </c>
      <c r="B30" s="4">
        <f>IF(AND(COUNT(B2,B4)=2, B2&lt;&gt;0), B4/B2, " ")</f>
      </c>
      <c r="C30" s="4">
        <f>IF(AND(COUNT(C2,C4)=2, C2&lt;&gt;0), C4/C2, " ")</f>
      </c>
      <c r="D30" s="4">
        <f>IF(AND(COUNT(D2,D4)=2, D2&lt;&gt;0), D4/D2, " ")</f>
      </c>
      <c r="E30" s="4">
        <f>IF(AND(COUNT(E2,E4)=2, E2&lt;&gt;0), E4/E2, " ")</f>
      </c>
      <c r="F30" s="4">
        <f>IF(AND(COUNT(F2,F4)=2, F2&lt;&gt;0), F4/F2, " ")</f>
      </c>
      <c r="G30" s="4">
        <f>IF(AND(COUNT(G2,G4)=2, G2&lt;&gt;0), G4/G2, " ")</f>
      </c>
      <c r="H30" s="4">
        <f>IF(AND(COUNT(H2,H4)=2, H2&lt;&gt;0), H4/H2, " ")</f>
      </c>
      <c r="I30" s="4">
        <f>IF(AND(COUNT(I2,I4)=2, I2&lt;&gt;0), I4/I2, " ")</f>
      </c>
      <c r="J30" s="4">
        <f>IF(AND(COUNT(J2,J4)=2, J2&lt;&gt;0), J4/J2, " ")</f>
      </c>
      <c r="K30" s="4">
        <f>IF(AND(COUNT(K2,K4)=2, K2&lt;&gt;0), K4/K2, " ")</f>
      </c>
      <c r="L30" s="4">
        <f>IF(AND(COUNT(L2,L4)=2, L2&lt;&gt;0), L4/L2, " ")</f>
      </c>
      <c r="M30" s="4">
        <f>IF(AND(COUNT(M2,M4)=2, M2&lt;&gt;0), M4/M2, " ")</f>
      </c>
      <c r="N30" s="4">
        <f>IF(AND(COUNT(N2,N4)=2, N2&lt;&gt;0), N4/N2, " ")</f>
      </c>
      <c r="O30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s="2" t="s">
        <v>28</v>
      </c>
      <c r="B31" s="4">
        <f>IF(AND(COUNT(B2,B9)=2, B2&lt;&gt;0), B9/B2, " ")</f>
      </c>
      <c r="C31" s="4">
        <f>IF(AND(COUNT(C2,C9)=2, C2&lt;&gt;0), C9/C2, " ")</f>
      </c>
      <c r="D31" s="4">
        <f>IF(AND(COUNT(D2,D9)=2, D2&lt;&gt;0), D9/D2, " ")</f>
      </c>
      <c r="E31" s="4">
        <f>IF(AND(COUNT(E2,E9)=2, E2&lt;&gt;0), E9/E2, " ")</f>
      </c>
      <c r="F31" s="4">
        <f>IF(AND(COUNT(F2,F9)=2, F2&lt;&gt;0), F9/F2, " ")</f>
      </c>
      <c r="G31" s="4">
        <f>IF(AND(COUNT(G2,G9)=2, G2&lt;&gt;0), G9/G2, " ")</f>
      </c>
      <c r="H31" s="4">
        <f>IF(AND(COUNT(H2,H9)=2, H2&lt;&gt;0), H9/H2, " ")</f>
      </c>
      <c r="I31" s="4">
        <f>IF(AND(COUNT(I2,I9)=2, I2&lt;&gt;0), I9/I2, " ")</f>
      </c>
      <c r="J31" s="4">
        <f>IF(AND(COUNT(J2,J9)=2, J2&lt;&gt;0), J9/J2, " ")</f>
      </c>
      <c r="K31" s="4">
        <f>IF(AND(COUNT(K2,K9)=2, K2&lt;&gt;0), K9/K2, " ")</f>
      </c>
      <c r="L31" s="4">
        <f>IF(AND(COUNT(L2,L9)=2, L2&lt;&gt;0), L9/L2, " ")</f>
      </c>
      <c r="M31" s="4">
        <f>IF(AND(COUNT(M2,M9)=2, M2&lt;&gt;0), M9/M2, " ")</f>
      </c>
      <c r="N31" s="4">
        <f>IF(AND(COUNT(N2,N9)=2, N2&lt;&gt;0), N9/N2, " ")</f>
      </c>
      <c r="O31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s="2" t="s">
        <v>29</v>
      </c>
      <c r="B32" s="4">
        <f>IF(AND(COUNT(B15,B15)=2, B15&lt;&gt;0), B16/B15, " ")</f>
      </c>
      <c r="C32" s="4">
        <f>IF(AND(COUNT(C15,C15)=2, C15&lt;&gt;0), C16/C15, " ")</f>
      </c>
      <c r="D32" s="4">
        <f>IF(AND(COUNT(D15,D15)=2, D15&lt;&gt;0), D16/D15, " ")</f>
      </c>
      <c r="E32" s="4">
        <f>IF(AND(COUNT(E15,E15)=2, E15&lt;&gt;0), E16/E15, " ")</f>
      </c>
      <c r="F32" s="4">
        <f>IF(AND(COUNT(F15,F15)=2, F15&lt;&gt;0), F16/F15, " ")</f>
      </c>
      <c r="G32" s="4">
        <f>IF(AND(COUNT(G15,G15)=2, G15&lt;&gt;0), G16/G15, " ")</f>
      </c>
      <c r="H32" s="4">
        <f>IF(AND(COUNT(H15,H15)=2, H15&lt;&gt;0), H16/H15, " ")</f>
      </c>
      <c r="I32" s="4">
        <f>IF(AND(COUNT(I15,I15)=2, I15&lt;&gt;0), I16/I15, " ")</f>
      </c>
      <c r="J32" s="4">
        <f>IF(AND(COUNT(J15,J15)=2, J15&lt;&gt;0), J16/J15, " ")</f>
      </c>
      <c r="K32" s="4">
        <f>IF(AND(COUNT(K15,K15)=2, K15&lt;&gt;0), K16/K15, " ")</f>
      </c>
      <c r="L32" s="4">
        <f>IF(AND(COUNT(L15,L15)=2, L15&lt;&gt;0), L16/L15, " ")</f>
      </c>
      <c r="M32" s="4">
        <f>IF(AND(COUNT(M15,M15)=2, M15&lt;&gt;0), M16/M15, " ")</f>
      </c>
      <c r="N32" s="4">
        <f>IF(AND(COUNT(N15,N15)=2, N15&lt;&gt;0), N16/N15, " ")</f>
      </c>
      <c r="O32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s="2" t="s">
        <v>30</v>
      </c>
      <c r="B33" s="4">
        <f>IF(AND(COUNT(B20,B2)=2, B2&lt;&gt;0), B20/B2, " ")</f>
      </c>
      <c r="C33" s="4">
        <f>IF(AND(COUNT(C20,C2)=2, C2&lt;&gt;0), C20/C2, " ")</f>
      </c>
      <c r="D33" s="4">
        <f>IF(AND(COUNT(D20,D2)=2, D2&lt;&gt;0), D20/D2, " ")</f>
      </c>
      <c r="E33" s="4">
        <f>IF(AND(COUNT(E20,E2)=2, E2&lt;&gt;0), E20/E2, " ")</f>
      </c>
      <c r="F33" s="4">
        <f>IF(AND(COUNT(F20,F2)=2, F2&lt;&gt;0), F20/F2, " ")</f>
      </c>
      <c r="G33" s="4">
        <f>IF(AND(COUNT(G20,G2)=2, G2&lt;&gt;0), G20/G2, " ")</f>
      </c>
      <c r="H33" s="4">
        <f>IF(AND(COUNT(H20,H2)=2, H2&lt;&gt;0), H20/H2, " ")</f>
      </c>
      <c r="I33" s="4">
        <f>IF(AND(COUNT(I20,I2)=2, I2&lt;&gt;0), I20/I2, " ")</f>
      </c>
      <c r="J33" s="4">
        <f>IF(AND(COUNT(J20,J2)=2, J2&lt;&gt;0), J20/J2, " ")</f>
      </c>
      <c r="K33" s="4">
        <f>IF(AND(COUNT(K20,K2)=2, K2&lt;&gt;0), K20/K2, " ")</f>
      </c>
      <c r="L33" s="4">
        <f>IF(AND(COUNT(L20,L2)=2, L2&lt;&gt;0), L20/L2, " ")</f>
      </c>
      <c r="M33" s="4">
        <f>IF(AND(COUNT(M20,M2)=2, M2&lt;&gt;0), M20/M2, " ")</f>
      </c>
      <c r="N33" s="4">
        <f>IF(AND(COUNT(N20,N2)=2, N2&lt;&gt;0), N20/N2, " ")</f>
      </c>
      <c r="O33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s="2" t="s">
        <v>31</v>
      </c>
      <c r="B34" s="4"/>
      <c r="C34" s="4">
        <f>IF(AND(COUNT(B27,C27)=2, C27&lt;&gt;0, B2&lt;&gt;0), C27/B27-1, " ")</f>
      </c>
      <c r="D34" s="4">
        <f>IF(AND(COUNT(C27,D27)=2, D27&lt;&gt;0, C2&lt;&gt;0), D27/C27-1, " ")</f>
      </c>
      <c r="E34" s="4">
        <f>IF(AND(COUNT(D27,E27)=2, E27&lt;&gt;0, D2&lt;&gt;0), E27/D27-1, " ")</f>
      </c>
      <c r="F34" s="4">
        <f>IF(AND(COUNT(E27,F27)=2, F27&lt;&gt;0, E2&lt;&gt;0), F27/E27-1, " ")</f>
      </c>
      <c r="G34" s="4">
        <f>IF(AND(COUNT(F27,G27)=2, G27&lt;&gt;0, F2&lt;&gt;0), G27/F27-1, " ")</f>
      </c>
      <c r="H34" s="4">
        <f>IF(AND(COUNT(G27,H27)=2, H27&lt;&gt;0, G2&lt;&gt;0), H27/G27-1, " ")</f>
      </c>
      <c r="I34" s="4">
        <f>IF(AND(COUNT(H27,I27)=2, I27&lt;&gt;0, H2&lt;&gt;0), I27/H27-1, " ")</f>
      </c>
      <c r="J34" s="4">
        <f>IF(AND(COUNT(I27,J27)=2, J27&lt;&gt;0, I2&lt;&gt;0), J27/I27-1, " ")</f>
      </c>
      <c r="K34" s="4">
        <f>IF(AND(COUNT(J27,K27)=2, K27&lt;&gt;0, J2&lt;&gt;0), K27/J27-1, " ")</f>
      </c>
      <c r="L34" s="4">
        <f>IF(AND(COUNT(K27,L27)=2, L27&lt;&gt;0, K2&lt;&gt;0), L27/K27-1, " ")</f>
      </c>
      <c r="M34" s="4">
        <f>IF(AND(COUNT(L27,M27)=2, M27&lt;&gt;0, L2&lt;&gt;0), M27/L27-1, " ")</f>
      </c>
      <c r="N34" s="4">
        <f>IF(AND(COUNT(M27,N27)=2, N27&lt;&gt;0, M2&lt;&gt;0), N27/M27-1, " ")</f>
      </c>
      <c r="O3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5" spans="1:14" x14ac:dyDescent="0.25">
      <c r="A35" s="2"/>
      <c r="B35" s="3"/>
      <c r="C35" s="3"/>
      <c r="D35" s="3"/>
      <c r="E35" s="3"/>
      <c r="F35" s="3"/>
      <c r="G35" s="3"/>
      <c r="H35" s="3"/>
      <c r="I35" s="3"/>
      <c r="J35" s="3"/>
      <c r="K35" s="3"/>
      <c r="L35" s="3"/>
      <c r="M35" s="3"/>
      <c r="N35" s="3"/>
    </row>
    <row r="36" spans="1:14" x14ac:dyDescent="0.25">
      <c r="A36" s="2" t="s">
        <v>32</v>
      </c>
      <c r="B36" s="3">
        <v>5421095</v>
      </c>
      <c r="C36" s="3">
        <v>6799784</v>
      </c>
      <c r="D36" s="3"/>
      <c r="E36" s="3"/>
      <c r="F36" s="3"/>
      <c r="G36" s="3"/>
      <c r="H36" s="3"/>
      <c r="I36" s="3"/>
      <c r="J36" s="3"/>
      <c r="K36" s="3"/>
      <c r="L36" s="3"/>
      <c r="M36" s="3"/>
      <c r="N36" s="3"/>
    </row>
    <row r="37" spans="1:14" x14ac:dyDescent="0.25">
      <c r="A37" s="2" t="s">
        <v>33</v>
      </c>
      <c r="B37" s="3">
        <v>14997772</v>
      </c>
      <c r="C37" s="3">
        <v>18754876</v>
      </c>
      <c r="D37" s="3"/>
      <c r="E37" s="3"/>
      <c r="F37" s="3"/>
      <c r="G37" s="3"/>
      <c r="H37" s="3"/>
      <c r="I37" s="3"/>
      <c r="J37" s="3"/>
      <c r="K37" s="3"/>
      <c r="L37" s="3"/>
      <c r="M37" s="3"/>
      <c r="N37" s="3"/>
    </row>
    <row r="38" spans="1:14" x14ac:dyDescent="0.25">
      <c r="A38" s="2" t="s">
        <v>34</v>
      </c>
      <c r="B38" s="3">
        <v>14942867</v>
      </c>
      <c r="C38" s="3">
        <v>17931005</v>
      </c>
      <c r="D38" s="3"/>
      <c r="E38" s="3"/>
      <c r="F38" s="3"/>
      <c r="G38" s="3"/>
      <c r="H38" s="3"/>
      <c r="I38" s="3"/>
      <c r="J38" s="3"/>
      <c r="K38" s="3"/>
      <c r="L38" s="3"/>
      <c r="M38" s="3"/>
      <c r="N38" s="3"/>
    </row>
    <row r="39" spans="1:14" x14ac:dyDescent="0.25">
      <c r="A39" s="2" t="s">
        <v>35</v>
      </c>
      <c r="B39" s="3">
        <f>B37-B38</f>
      </c>
      <c r="C39" s="3">
        <f>C37-C38</f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5">
        <f>DATE(YEAR(TODAY()), 12, 31)</f>
      </c>
    </row>
    <row r="5" spans="1:1" x14ac:dyDescent="0.25">
      <c r="A5" s="2"/>
    </row>
    <row r="6" spans="1:3" x14ac:dyDescent="0.25">
      <c r="A6" s="2" t="s">
        <v>39</v>
      </c>
      <c r="B6" s="4"/>
      <c r="C6" t="s">
        <v>40</v>
      </c>
    </row>
    <row r="7" spans="1:3" x14ac:dyDescent="0.25">
      <c r="A7" s="2" t="s">
        <v>41</v>
      </c>
      <c r="B7" s="4"/>
      <c r="C7" t="s">
        <v>42</v>
      </c>
    </row>
    <row r="8" spans="1:4" x14ac:dyDescent="0.25">
      <c r="A8" s="2" t="s">
        <v>43</v>
      </c>
      <c r="C8" t="s">
        <v>44</v>
      </c>
      <c r="D8" t="s">
        <v>45</v>
      </c>
    </row>
    <row r="9" spans="1:4" x14ac:dyDescent="0.25">
      <c r="A9" s="2" t="s">
        <v>46</v>
      </c>
      <c r="B9" s="4"/>
      <c r="C9" t="s">
        <v>47</v>
      </c>
      <c r="D9" t="s">
        <v>48</v>
      </c>
    </row>
    <row r="10" spans="1:4" x14ac:dyDescent="0.25">
      <c r="A10" s="2" t="s">
        <v>49</v>
      </c>
      <c r="B10" s="4"/>
      <c r="C10" t="s">
        <v>50</v>
      </c>
      <c r="D10" t="s">
        <v>51</v>
      </c>
    </row>
    <row r="11" spans="1:2" x14ac:dyDescent="0.25">
      <c r="A11" s="2" t="s">
        <v>52</v>
      </c>
      <c r="B11" s="4">
        <f>B10+B9*B8</f>
      </c>
    </row>
    <row r="12" spans="1:3" x14ac:dyDescent="0.25">
      <c r="A12" s="2" t="s">
        <v>53</v>
      </c>
      <c r="B12" s="4"/>
      <c r="C12" t="s">
        <v>54</v>
      </c>
    </row>
    <row r="13" spans="1:4" x14ac:dyDescent="0.25">
      <c r="A13" s="2" t="s">
        <v>55</v>
      </c>
      <c r="B13" s="3"/>
      <c r="C13" t="s">
        <v>56</v>
      </c>
      <c r="D13" t="s">
        <v>45</v>
      </c>
    </row>
    <row r="14" spans="1:3" x14ac:dyDescent="0.25">
      <c r="A14" s="2" t="s">
        <v>57</v>
      </c>
      <c r="B14" s="3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3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3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3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3"/>
      <c r="C20" t="s">
        <v>65</v>
      </c>
    </row>
    <row r="21" spans="1:4" x14ac:dyDescent="0.25">
      <c r="A21" s="2" t="s">
        <v>66</v>
      </c>
      <c r="B21" s="3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2023-12-22T01:47:43Z</cp:lastPrinted>
  <dcterms:created xsi:type="dcterms:W3CDTF">2023-12-22T01:47:43Z</dcterms:created>
  <dcterms:modified xsi:type="dcterms:W3CDTF">2023-12-22T01:47:43Z</dcterms:modified>
</cp:coreProperties>
</file>