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<sst xmlns="http://schemas.openxmlformats.org/spreadsheetml/2006/main" count="72" uniqueCount="69">
  <si>
    <t>(in thousands)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</si>
  <si>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</si>
  <si>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</si>
  <si>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</si>
  <si>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</si>
  <si>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</si>
  <si>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</si>
  <si>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</si>
  <si>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</si>
  <si>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</si>
  <si>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</si>
  <si>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</si>
  <si>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</si>
  <si>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</si>
  <si>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</si>
  <si>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</si>
  <si>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</si>
  <si>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</si>
  <si>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</si>
  <si>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</si>
  <si>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</si>
  <si>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</si>
  <si>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</si>
  <si>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</si>
  <si>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</si>
  <si>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</si>
  <si>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</si>
  <si>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</si>
  <si>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</si>
  <si>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</si>
  <si>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</si>
  <si>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</si>
  <si>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</si>
  <si>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</si>
  <si>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</si>
  <si>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</si>
  <si>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(in nominal terms)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</si>
  <si>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</si>
  <si>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</si>
  <si>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</si>
  <si>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</si>
  <si>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</si>
  <si>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</si>
  <si>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</si>
  <si>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</si>
  <si>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</si>
  <si>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https://finance.yahoo.com/quote/FATE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</si>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</sst>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FATE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FATE" TargetMode="External"/><Relationship Id="rId5" Type="http://schemas.openxmlformats.org/officeDocument/2006/relationships/hyperlink" Target="https://finance.yahoo.com/quote/FATE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6" x14ac:dyDescent="0.25">
      <c r="A1" s="1" t="s">
        <v>0</v>
      </c>
      <c r="B1" s="2">
        <v>2009</v>
      </c>
      <c r="C1" s="2">
        <v>2010</v>
      </c>
      <c r="D1" s="2">
        <v>2011</v>
      </c>
      <c r="E1" s="2">
        <v>2012</v>
      </c>
      <c r="F1" s="2">
        <v>2013</v>
      </c>
      <c r="G1" s="2">
        <v>2014</v>
      </c>
      <c r="H1" s="2">
        <v>2015</v>
      </c>
      <c r="I1" s="2">
        <v>2016</v>
      </c>
      <c r="J1" s="2">
        <v>2017</v>
      </c>
      <c r="K1" s="2">
        <v>2018</v>
      </c>
      <c r="L1" s="2">
        <v>2019</v>
      </c>
      <c r="M1" s="2">
        <v>2020</v>
      </c>
      <c r="N1" s="2">
        <v>2021</v>
      </c>
      <c r="O1" s="2">
        <v>2022</v>
      </c>
      <c r="P1" s="2">
        <v>2023</v>
      </c>
      <c r="Q1" s="2">
        <v>2024</v>
      </c>
      <c r="R1" s="2">
        <v>2025</v>
      </c>
      <c r="S1" s="2">
        <v>2026</v>
      </c>
      <c r="T1" s="2">
        <v>2027</v>
      </c>
      <c r="U1" s="2">
        <v>2028</v>
      </c>
      <c r="V1" s="2">
        <v>2029</v>
      </c>
      <c r="W1" s="2">
        <v>2030</v>
      </c>
      <c r="X1" s="2">
        <v>2031</v>
      </c>
      <c r="Y1" s="2">
        <v>2032</v>
      </c>
      <c r="Z1" s="2">
        <v>2033</v>
      </c>
    </row>
    <row r="2" spans="1:26" x14ac:dyDescent="0.25">
      <c r="A2" s="2" t="s">
        <v>1</v>
      </c>
      <c r="B2" s="3">
        <v>0</v>
      </c>
      <c r="C2" s="3">
        <v>0</v>
      </c>
      <c r="D2" s="3">
        <v>1170</v>
      </c>
      <c r="E2" s="3">
        <v>643</v>
      </c>
      <c r="F2" s="3">
        <v>971</v>
      </c>
      <c r="G2" s="3">
        <v>0</v>
      </c>
      <c r="H2" s="3">
        <v>1076</v>
      </c>
      <c r="I2" s="3">
        <v>1027</v>
      </c>
      <c r="J2" s="3">
        <v>1027</v>
      </c>
      <c r="K2" s="3">
        <v>1661</v>
      </c>
      <c r="L2" s="3">
        <v>2802</v>
      </c>
      <c r="M2" s="3">
        <v>31434</v>
      </c>
      <c r="N2" s="3">
        <v>55846</v>
      </c>
      <c r="O2" s="3">
        <v>96300</v>
      </c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spans="1:26" x14ac:dyDescent="0.25">
      <c r="A3" s="2" t="s">
        <v>2</v>
      </c>
      <c r="B3" s="3">
        <v>0</v>
      </c>
      <c r="C3" s="3">
        <v>0</v>
      </c>
      <c r="D3" s="3">
        <v>0</v>
      </c>
      <c r="E3" s="3">
        <v>0</v>
      </c>
      <c r="F3" s="3">
        <v>0</v>
      </c>
      <c r="G3" s="3">
        <v>0</v>
      </c>
      <c r="H3" s="3">
        <v>0</v>
      </c>
      <c r="I3" s="3">
        <v>0</v>
      </c>
      <c r="J3" s="3">
        <v>0</v>
      </c>
      <c r="K3" s="3">
        <v>0</v>
      </c>
      <c r="L3" s="3">
        <v>0</v>
      </c>
      <c r="M3" s="3">
        <v>0</v>
      </c>
      <c r="N3" s="3">
        <v>0</v>
      </c>
      <c r="O3" s="3">
        <v>0</v>
      </c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 s="3">
        <f>Z2-Z3</f>
      </c>
    </row>
    <row r="5" spans="1:26" x14ac:dyDescent="0.25">
      <c r="A5" s="2" t="s">
        <v>4</v>
      </c>
      <c r="B5" s="3">
        <v>0</v>
      </c>
      <c r="C5" s="3">
        <v>0</v>
      </c>
      <c r="D5" s="3">
        <v>9858</v>
      </c>
      <c r="E5" s="3">
        <v>11999</v>
      </c>
      <c r="F5" s="3">
        <v>12007</v>
      </c>
      <c r="G5" s="3">
        <v>16435</v>
      </c>
      <c r="H5" s="3">
        <v>19861</v>
      </c>
      <c r="I5" s="3">
        <v>26452</v>
      </c>
      <c r="J5" s="3">
        <v>34358</v>
      </c>
      <c r="K5" s="3">
        <v>56024</v>
      </c>
      <c r="L5" s="3">
        <v>87770</v>
      </c>
      <c r="M5" s="3">
        <v>125623</v>
      </c>
      <c r="N5" s="3">
        <v>215519</v>
      </c>
      <c r="O5" s="3">
        <v>320454</v>
      </c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spans="1:26" x14ac:dyDescent="0.25">
      <c r="A6" s="2" t="s">
        <v>5</v>
      </c>
      <c r="B6" s="3">
        <v>0</v>
      </c>
      <c r="C6" s="3">
        <v>0</v>
      </c>
      <c r="D6" s="3">
        <v>4605</v>
      </c>
      <c r="E6" s="3">
        <v>4228</v>
      </c>
      <c r="F6" s="3">
        <v>6639</v>
      </c>
      <c r="G6" s="3">
        <v>8469</v>
      </c>
      <c r="H6" s="3">
        <v>10352</v>
      </c>
      <c r="I6" s="3">
        <v>9913</v>
      </c>
      <c r="J6" s="3">
        <v>11873</v>
      </c>
      <c r="K6" s="3">
        <v>15808</v>
      </c>
      <c r="L6" s="3">
        <v>23637</v>
      </c>
      <c r="M6" s="3">
        <v>33896</v>
      </c>
      <c r="N6" s="3">
        <v>57321</v>
      </c>
      <c r="O6" s="3">
        <v>84232</v>
      </c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spans="1:26" x14ac:dyDescent="0.25">
      <c r="A7" s="2" t="s">
        <v>6</v>
      </c>
      <c r="B7" s="3">
        <v>13334</v>
      </c>
      <c r="C7" s="3">
        <v>16222</v>
      </c>
      <c r="D7" s="3">
        <v>0</v>
      </c>
      <c r="E7" s="3">
        <v>-11540</v>
      </c>
      <c r="F7" s="3">
        <v>-13744</v>
      </c>
      <c r="G7" s="3">
        <v>-18961</v>
      </c>
      <c r="H7" s="3">
        <v>-22225</v>
      </c>
      <c r="I7" s="3">
        <v>-27684</v>
      </c>
      <c r="J7" s="3">
        <v>-32960</v>
      </c>
      <c r="K7" s="3">
        <v>-53430</v>
      </c>
      <c r="L7" s="3">
        <v>-79527</v>
      </c>
      <c r="M7" s="3">
        <v>0</v>
      </c>
      <c r="N7" s="3">
        <v>0</v>
      </c>
      <c r="O7" s="3">
        <v>0</v>
      </c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 s="3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 s="3">
        <f>Z4-Z8</f>
      </c>
    </row>
    <row r="10" spans="1:26" x14ac:dyDescent="0.25">
      <c r="A10" s="2" t="s">
        <v>9</v>
      </c>
      <c r="B10" s="3">
        <v>0</v>
      </c>
      <c r="C10" s="3">
        <v>0</v>
      </c>
      <c r="D10" s="3">
        <v>2</v>
      </c>
      <c r="E10" s="3">
        <v>1</v>
      </c>
      <c r="F10" s="3">
        <v>6</v>
      </c>
      <c r="G10" s="3">
        <v>2</v>
      </c>
      <c r="H10" s="3">
        <v>10</v>
      </c>
      <c r="I10" s="3">
        <v>138</v>
      </c>
      <c r="J10" s="3">
        <v>559</v>
      </c>
      <c r="K10" s="3">
        <v>2190</v>
      </c>
      <c r="L10" s="3">
        <v>4330</v>
      </c>
      <c r="M10" s="3">
        <v>2400</v>
      </c>
      <c r="N10" s="3">
        <v>1309</v>
      </c>
      <c r="O10" s="3">
        <v>5842</v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6" x14ac:dyDescent="0.25">
      <c r="A11" s="2" t="s">
        <v>10</v>
      </c>
      <c r="B11" s="3">
        <v>0</v>
      </c>
      <c r="C11" s="3">
        <v>0</v>
      </c>
      <c r="D11" s="3">
        <v>127</v>
      </c>
      <c r="E11" s="3">
        <v>487</v>
      </c>
      <c r="F11" s="3">
        <v>796</v>
      </c>
      <c r="G11" s="3">
        <v>549</v>
      </c>
      <c r="H11" s="3">
        <v>2220</v>
      </c>
      <c r="I11" s="3">
        <v>1637</v>
      </c>
      <c r="J11" s="3">
        <v>1268</v>
      </c>
      <c r="K11" s="3">
        <v>1696</v>
      </c>
      <c r="L11" s="3">
        <v>1752</v>
      </c>
      <c r="M11" s="3">
        <v>0</v>
      </c>
      <c r="N11" s="3">
        <v>0</v>
      </c>
      <c r="O11" s="3">
        <v>0</v>
      </c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spans="1:26" x14ac:dyDescent="0.25">
      <c r="A12" s="2" t="s">
        <v>11</v>
      </c>
      <c r="B12" s="3">
        <v>0</v>
      </c>
      <c r="C12" s="3">
        <v>0</v>
      </c>
      <c r="D12" s="3">
        <v>-9</v>
      </c>
      <c r="E12" s="3">
        <v>375</v>
      </c>
      <c r="F12" s="3">
        <v>-1018</v>
      </c>
      <c r="G12" s="3">
        <v>257</v>
      </c>
      <c r="H12" s="3">
        <v>1676</v>
      </c>
      <c r="I12" s="3">
        <v>1213</v>
      </c>
      <c r="J12" s="3">
        <v>456</v>
      </c>
      <c r="K12" s="3">
        <v>220</v>
      </c>
      <c r="L12" s="3">
        <v>-1802</v>
      </c>
      <c r="M12" s="3">
        <v>-47702</v>
      </c>
      <c r="N12" s="3">
        <v>3534</v>
      </c>
      <c r="O12" s="3">
        <v>20823</v>
      </c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 s="3">
        <f>Y10-Y11+Y12</f>
      </c>
      <c r="Z13" s="3">
        <f>Z10-Z11+Z12</f>
      </c>
    </row>
    <row r="14" spans="1:26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 s="3">
        <f>Y9+Y13-Y14</f>
      </c>
      <c r="Z15" s="3">
        <f>Z9+Z13-Z14</f>
      </c>
    </row>
    <row r="16" spans="1:26" x14ac:dyDescent="0.25">
      <c r="A16" s="2" t="s">
        <v>15</v>
      </c>
      <c r="B16" s="3">
        <v>0</v>
      </c>
      <c r="C16" s="3">
        <v>0</v>
      </c>
      <c r="D16" s="3">
        <v>0</v>
      </c>
      <c r="E16" s="3">
        <v>0</v>
      </c>
      <c r="F16" s="3">
        <v>0</v>
      </c>
      <c r="G16" s="3">
        <v>0</v>
      </c>
      <c r="H16" s="3">
        <v>0</v>
      </c>
      <c r="I16" s="3">
        <v>0</v>
      </c>
      <c r="J16" s="3">
        <v>0</v>
      </c>
      <c r="K16" s="3">
        <v>0</v>
      </c>
      <c r="L16" s="3">
        <v>0</v>
      </c>
      <c r="M16" s="3">
        <v>0</v>
      </c>
      <c r="N16" s="3">
        <v>0</v>
      </c>
      <c r="O16" s="3">
        <v>0</v>
      </c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 spans="1:26" x14ac:dyDescent="0.25">
      <c r="A17" s="2" t="s">
        <v>16</v>
      </c>
      <c r="B17" s="3">
        <v>0</v>
      </c>
      <c r="C17" s="3">
        <v>0</v>
      </c>
      <c r="D17" s="3">
        <v>0</v>
      </c>
      <c r="E17" s="3">
        <v>0</v>
      </c>
      <c r="F17" s="3">
        <v>0</v>
      </c>
      <c r="G17" s="3">
        <v>0</v>
      </c>
      <c r="H17" s="3">
        <v>0</v>
      </c>
      <c r="I17" s="3">
        <v>0</v>
      </c>
      <c r="J17" s="3">
        <v>0</v>
      </c>
      <c r="K17" s="3">
        <v>0</v>
      </c>
      <c r="L17" s="3">
        <v>0</v>
      </c>
      <c r="M17" s="3">
        <v>0</v>
      </c>
      <c r="N17" s="3">
        <v>0</v>
      </c>
      <c r="O17" s="3">
        <v>0</v>
      </c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spans="1:26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>
        <v>0</v>
      </c>
      <c r="G18" s="3">
        <v>0</v>
      </c>
      <c r="H18" s="3">
        <v>0</v>
      </c>
      <c r="I18" s="3">
        <v>0</v>
      </c>
      <c r="J18" s="3">
        <v>0</v>
      </c>
      <c r="K18" s="3">
        <v>0</v>
      </c>
      <c r="L18" s="3">
        <v>0</v>
      </c>
      <c r="M18" s="3">
        <v>0</v>
      </c>
      <c r="N18" s="3">
        <v>0</v>
      </c>
      <c r="O18" s="3">
        <v>0</v>
      </c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spans="1:26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>
        <v>0</v>
      </c>
      <c r="G19" s="3">
        <v>0</v>
      </c>
      <c r="H19" s="3">
        <v>0</v>
      </c>
      <c r="I19" s="3">
        <v>0</v>
      </c>
      <c r="J19" s="3">
        <v>0</v>
      </c>
      <c r="K19" s="3">
        <v>0</v>
      </c>
      <c r="L19" s="3">
        <v>0</v>
      </c>
      <c r="M19" s="3">
        <v>0</v>
      </c>
      <c r="N19" s="3">
        <v>0</v>
      </c>
      <c r="O19" s="3">
        <v>0</v>
      </c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 s="3">
        <f>Y15-Y16+Y17-Y18+Y19</f>
      </c>
      <c r="Z20" s="3">
        <f>Z15-Z16+Z17-Z18+Z19</f>
      </c>
    </row>
    <row r="21" spans="1:26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spans="1:26" x14ac:dyDescent="0.25">
      <c r="A22" s="2" t="s">
        <v>20</v>
      </c>
      <c r="B22" s="3">
        <v>0</v>
      </c>
      <c r="C22" s="3">
        <v>0</v>
      </c>
      <c r="D22" s="3">
        <v>672</v>
      </c>
      <c r="E22" s="3">
        <v>590</v>
      </c>
      <c r="F22" s="3">
        <v>571</v>
      </c>
      <c r="G22" s="3">
        <v>496</v>
      </c>
      <c r="H22" s="3">
        <v>687</v>
      </c>
      <c r="I22" s="3">
        <v>881</v>
      </c>
      <c r="J22" s="3">
        <v>971</v>
      </c>
      <c r="K22" s="3">
        <v>1204</v>
      </c>
      <c r="L22" s="3">
        <v>2193</v>
      </c>
      <c r="M22" s="3">
        <v>3087</v>
      </c>
      <c r="N22" s="3">
        <v>5850</v>
      </c>
      <c r="O22" s="3">
        <v>13758</v>
      </c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spans="1:26" x14ac:dyDescent="0.25">
      <c r="A23" s="2" t="s">
        <v>21</v>
      </c>
      <c r="B23" s="3">
        <v>0</v>
      </c>
      <c r="C23" s="3">
        <v>0</v>
      </c>
      <c r="D23" s="3">
        <v>172</v>
      </c>
      <c r="E23" s="3">
        <v>155</v>
      </c>
      <c r="F23" s="3">
        <v>1554</v>
      </c>
      <c r="G23" s="3">
        <v>2434</v>
      </c>
      <c r="H23" s="3">
        <v>2400</v>
      </c>
      <c r="I23" s="3">
        <v>0</v>
      </c>
      <c r="J23" s="3">
        <v>0</v>
      </c>
      <c r="K23" s="3">
        <v>0</v>
      </c>
      <c r="L23" s="3">
        <v>0</v>
      </c>
      <c r="M23" s="3">
        <v>0</v>
      </c>
      <c r="N23" s="3">
        <v>0</v>
      </c>
      <c r="O23" s="3">
        <v>0</v>
      </c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spans="1:26" x14ac:dyDescent="0.25">
      <c r="A24" s="2" t="s">
        <v>22</v>
      </c>
      <c r="B24" s="3">
        <v>13334</v>
      </c>
      <c r="C24" s="3">
        <v>16222</v>
      </c>
      <c r="D24" s="3">
        <v>12583</v>
      </c>
      <c r="E24" s="3">
        <v>3410</v>
      </c>
      <c r="F24" s="3">
        <v>3614</v>
      </c>
      <c r="G24" s="3">
        <v>3303</v>
      </c>
      <c r="H24" s="3">
        <v>4359</v>
      </c>
      <c r="I24" s="3">
        <v>-22764</v>
      </c>
      <c r="J24" s="3">
        <v>-25291</v>
      </c>
      <c r="K24" s="3">
        <v>-23827</v>
      </c>
      <c r="L24" s="3">
        <v>-57066</v>
      </c>
      <c r="M24" s="3">
        <v>131071</v>
      </c>
      <c r="N24" s="3">
        <v>43431</v>
      </c>
      <c r="O24" s="3">
        <v>19755</v>
      </c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 s="3">
        <f>Y20+Y22+Y23+Y24</f>
      </c>
      <c r="Z25" s="3">
        <f>Z20+Z22+Z23+Z24</f>
      </c>
    </row>
    <row r="26" spans="1:26" x14ac:dyDescent="0.25">
      <c r="A26" s="2" t="s">
        <v>24</v>
      </c>
      <c r="B26" s="3">
        <v>0</v>
      </c>
      <c r="C26" s="3">
        <v>0</v>
      </c>
      <c r="D26" s="3">
        <v>2</v>
      </c>
      <c r="E26" s="3">
        <v>709</v>
      </c>
      <c r="F26" s="3">
        <v>244</v>
      </c>
      <c r="G26" s="3">
        <v>882</v>
      </c>
      <c r="H26" s="3">
        <v>1498</v>
      </c>
      <c r="I26" s="3">
        <v>457</v>
      </c>
      <c r="J26" s="3">
        <v>1725</v>
      </c>
      <c r="K26" s="3">
        <v>2303</v>
      </c>
      <c r="L26" s="3">
        <v>7395</v>
      </c>
      <c r="M26" s="3">
        <v>4932</v>
      </c>
      <c r="N26" s="3">
        <v>50704</v>
      </c>
      <c r="O26" s="3">
        <v>35566</v>
      </c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 s="3">
        <f>Y25-Y26</f>
      </c>
      <c r="Z27" s="3">
        <f>Z25-Z26</f>
      </c>
    </row>
    <row r="28" spans="1:26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 s="4">
        <f>IF(AND(COUNT(X2,Y2)=2, Y2&lt;&gt;0, X2&lt;&gt;0), Y2/X2-1, " ")</f>
      </c>
      <c r="Z29" s="4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 s="4">
        <f>IF(AND(COUNT(Y2,Y4)=2, Y2&lt;&gt;0), Y4/Y2, " ")</f>
      </c>
      <c r="Z30" s="4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 s="4">
        <f>IF(AND(COUNT(Y2,Y9)=2, Y2&lt;&gt;0), Y9/Y2, " ")</f>
      </c>
      <c r="Z31" s="4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 s="4">
        <f>IF(AND(COUNT(Y15,Y15)=2, Y15&lt;&gt;0), Y16/Y15, " ")</f>
      </c>
      <c r="Z32" s="4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 s="4">
        <f>IF(AND(COUNT(Y20,Y2)=2, Y2&lt;&gt;0), Y20/Y2, " ")</f>
      </c>
      <c r="Z33" s="4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 s="4">
        <f>IF(AND(COUNT(X27,Y27)=2, Y27&lt;&gt;0, X2&lt;&gt;0), Y27/X27-1, " ")</f>
      </c>
      <c r="Z34" s="4">
        <f>IF(AND(COUNT(Y27,Z27)=2, Z27&lt;&gt;0, Y2&lt;&gt;0), Z27/Y27-1, " ")</f>
      </c>
    </row>
    <row r="35" spans="1:26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spans="1:26" x14ac:dyDescent="0.25">
      <c r="A36" s="2" t="s">
        <v>32</v>
      </c>
      <c r="B36" s="3">
        <v>0</v>
      </c>
      <c r="C36" s="3">
        <v>0</v>
      </c>
      <c r="D36" s="3">
        <v>0</v>
      </c>
      <c r="E36" s="3">
        <v>1161</v>
      </c>
      <c r="F36" s="3">
        <v>810</v>
      </c>
      <c r="G36" s="3">
        <v>1200</v>
      </c>
      <c r="H36" s="3">
        <v>2160</v>
      </c>
      <c r="I36" s="3">
        <v>1579</v>
      </c>
      <c r="J36" s="3">
        <v>2550</v>
      </c>
      <c r="K36" s="3">
        <v>5125</v>
      </c>
      <c r="L36" s="3">
        <v>11419</v>
      </c>
      <c r="M36" s="3">
        <v>32308</v>
      </c>
      <c r="N36" s="3">
        <v>91529</v>
      </c>
      <c r="O36" s="3">
        <v>110020</v>
      </c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spans="1:26" x14ac:dyDescent="0.25">
      <c r="A37" s="2" t="s">
        <v>33</v>
      </c>
      <c r="B37" s="3">
        <v>0</v>
      </c>
      <c r="C37" s="3">
        <v>0</v>
      </c>
      <c r="D37" s="3">
        <v>0</v>
      </c>
      <c r="E37" s="3">
        <v>11076</v>
      </c>
      <c r="F37" s="3">
        <v>55583</v>
      </c>
      <c r="G37" s="3">
        <v>51183</v>
      </c>
      <c r="H37" s="3">
        <v>67958</v>
      </c>
      <c r="I37" s="3">
        <v>95048</v>
      </c>
      <c r="J37" s="3">
        <v>105292</v>
      </c>
      <c r="K37" s="3">
        <v>213032</v>
      </c>
      <c r="L37" s="3">
        <v>302274</v>
      </c>
      <c r="M37" s="3">
        <v>622457</v>
      </c>
      <c r="N37" s="3">
        <v>921455</v>
      </c>
      <c r="O37" s="3">
        <v>705561</v>
      </c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spans="1:26" x14ac:dyDescent="0.25">
      <c r="A38" s="2" t="s">
        <v>34</v>
      </c>
      <c r="B38" s="3">
        <v>21457</v>
      </c>
      <c r="C38" s="3">
        <v>37435</v>
      </c>
      <c r="D38" s="3">
        <v>50683</v>
      </c>
      <c r="E38" s="3">
        <v>63901</v>
      </c>
      <c r="F38" s="3">
        <v>4735</v>
      </c>
      <c r="G38" s="3">
        <v>22843</v>
      </c>
      <c r="H38" s="3">
        <v>29920</v>
      </c>
      <c r="I38" s="3">
        <v>21894</v>
      </c>
      <c r="J38" s="3">
        <v>28103</v>
      </c>
      <c r="K38" s="3">
        <v>52563</v>
      </c>
      <c r="L38" s="3">
        <v>57518</v>
      </c>
      <c r="M38" s="3">
        <v>238012</v>
      </c>
      <c r="N38" s="3">
        <v>242617</v>
      </c>
      <c r="O38" s="3">
        <v>221622</v>
      </c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spans="1:26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>
        <f>G37-G38</f>
      </c>
      <c r="H39" s="3">
        <f>H37-H38</f>
      </c>
      <c r="I39" s="3">
        <f>I37-I38</f>
      </c>
      <c r="J39" s="3">
        <f>J37-J38</f>
      </c>
      <c r="K39" s="3">
        <f>K37-K38</f>
      </c>
      <c r="L39" s="3">
        <f>L37-L38</f>
      </c>
      <c r="M39" s="3">
        <f>M37-M38</f>
      </c>
      <c r="N39" s="3">
        <f>N37-N38</f>
      </c>
      <c r="O39" s="3">
        <f>O37-O38</f>
      </c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36</v>
      </c>
    </row>
    <row r="3" spans="1:3" x14ac:dyDescent="0.25">
      <c r="A3" t="s">
        <v>37</v>
      </c>
      <c r="B3">
        <f>MATCH("Free Cash Flow to Firm", Financials!A:A, 0)</f>
      </c>
      <c r="C3" t="s">
        <v>38</v>
      </c>
    </row>
    <row r="4" spans="1:2" x14ac:dyDescent="0.25">
      <c r="A4" t="s">
        <v>39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40</v>
      </c>
      <c r="B6" s="4"/>
      <c r="C6" t="s">
        <v>41</v>
      </c>
    </row>
    <row r="7" spans="1:3" x14ac:dyDescent="0.25">
      <c r="A7" s="2" t="s">
        <v>42</v>
      </c>
      <c r="B7" s="4"/>
      <c r="C7" t="s">
        <v>43</v>
      </c>
    </row>
    <row r="8" spans="1:4" x14ac:dyDescent="0.25">
      <c r="A8" s="2" t="s">
        <v>44</v>
      </c>
      <c r="C8" t="s">
        <v>45</v>
      </c>
      <c r="D8" t="s">
        <v>46</v>
      </c>
    </row>
    <row r="9" spans="1:4" x14ac:dyDescent="0.25">
      <c r="A9" s="2" t="s">
        <v>47</v>
      </c>
      <c r="B9" s="4"/>
      <c r="C9" t="s">
        <v>48</v>
      </c>
      <c r="D9" t="s">
        <v>49</v>
      </c>
    </row>
    <row r="10" spans="1:4" x14ac:dyDescent="0.25">
      <c r="A10" s="2" t="s">
        <v>50</v>
      </c>
      <c r="B10" s="4"/>
      <c r="C10" t="s">
        <v>51</v>
      </c>
      <c r="D10" t="s">
        <v>52</v>
      </c>
    </row>
    <row r="11" spans="1:2" x14ac:dyDescent="0.25">
      <c r="A11" s="2" t="s">
        <v>53</v>
      </c>
      <c r="B11" s="4">
        <f>B10+B9*B8</f>
      </c>
    </row>
    <row r="12" spans="1:3" x14ac:dyDescent="0.25">
      <c r="A12" s="2" t="s">
        <v>54</v>
      </c>
      <c r="B12" s="4"/>
      <c r="C12" t="s">
        <v>55</v>
      </c>
    </row>
    <row r="13" spans="1:4" x14ac:dyDescent="0.25">
      <c r="A13" s="2" t="s">
        <v>56</v>
      </c>
      <c r="B13" s="3"/>
      <c r="C13" t="s">
        <v>57</v>
      </c>
      <c r="D13" t="s">
        <v>46</v>
      </c>
    </row>
    <row r="14" spans="1:3" x14ac:dyDescent="0.25">
      <c r="A14" s="2" t="s">
        <v>58</v>
      </c>
      <c r="B14" s="3"/>
      <c r="C14" t="s">
        <v>59</v>
      </c>
    </row>
    <row r="15" spans="1:2" x14ac:dyDescent="0.25">
      <c r="A15" t="s">
        <v>60</v>
      </c>
      <c r="B15" s="4">
        <f>IF(B13+B14&lt;&gt;0,((B13/(B13+B14))*B11)+((B14/(B13+B14))*B12*B7), 0)</f>
      </c>
    </row>
    <row r="16" spans="1:2" x14ac:dyDescent="0.25">
      <c r="A16" t="s">
        <v>61</v>
      </c>
      <c r="B16" s="4">
        <f>IF(B4-NOW()&gt;=0, MIN(YEARFRAC(NOW(),B4),1), 0)</f>
      </c>
    </row>
    <row r="17" spans="1:2" x14ac:dyDescent="0.25">
      <c r="A17" t="s">
        <v>62</v>
      </c>
      <c r="B17" s="3">
        <f>INDIRECT(CONCATENATE("Financials!", ADDRESS(B3, LOOKUP(2,1/(Financials!1:1=YEAR(TODAY())),COLUMN(Financials!1:1)))))*B16*1000</f>
      </c>
    </row>
    <row r="18" spans="1:2" x14ac:dyDescent="0.25">
      <c r="A18" t="s">
        <v>63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64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NOW())*1000,  " ")</f>
      </c>
    </row>
    <row r="20" spans="1:3" x14ac:dyDescent="0.25">
      <c r="A20" s="6" t="s">
        <v>65</v>
      </c>
      <c r="B20" s="3"/>
      <c r="C20" t="s">
        <v>66</v>
      </c>
    </row>
    <row r="21" spans="1:4" x14ac:dyDescent="0.25">
      <c r="A21" s="2" t="s">
        <v>67</v>
      </c>
      <c r="B21" s="3"/>
      <c r="C21" t="s">
        <v>57</v>
      </c>
      <c r="D21" t="s">
        <v>46</v>
      </c>
    </row>
    <row r="22" spans="1:2" x14ac:dyDescent="0.25">
      <c r="A22" t="s">
        <v>68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2023-12-22T01:45:46Z</cp:lastPrinted>
  <dcterms:created xsi:type="dcterms:W3CDTF">2023-12-22T01:45:46Z</dcterms:created>
  <dcterms:modified xsi:type="dcterms:W3CDTF">2023-12-22T01:45:46Z</dcterms:modified>
</cp:coreProperties>
</file>