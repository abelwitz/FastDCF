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<sst xmlns="http://schemas.openxmlformats.org/spreadsheetml/2006/main" count="74" uniqueCount="71">
  <si>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</si>
  <si>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</si>
  <si>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</si>
  <si>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</si>
  <si>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</si>
  <si>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</si>
  <si>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</si>
  <si>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</si>
  <si>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</si>
  <si>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</si>
  <si>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</si>
  <si>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</si>
  <si>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</si>
  <si>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</si>
  <si>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</si>
  <si>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</si>
  <si>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</si>
  <si>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</si>
  <si>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</si>
  <si>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</si>
  <si>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Miscellaneous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</si>
  <si>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</si>
  <si>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</si>
  <si>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</si>
  <si>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</si>
  <si>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</si>
  <si>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</si>
  <si>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</si>
  <si>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</si>
  <si>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</si>
  <si>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</si>
  <si>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</si>
  <si>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</si>
  <si>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</si>
  <si>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</si>
  <si>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</si>
  <si>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</si>
  <si>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</si>
  <si>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</si>
  <si>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</si>
  <si>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</si>
  <si>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</si>
  <si>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</si>
  <si>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</si>
  <si>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</si>
  <si>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</si>
  <si>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</si>
  <si>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</si>
  <si>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https://finance.yahoo.com/quote/ICVX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</si>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</sst>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ICVX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ICVX" TargetMode="External"/><Relationship Id="rId5" Type="http://schemas.openxmlformats.org/officeDocument/2006/relationships/hyperlink" Target="https://finance.yahoo.com/quote/ICVX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5" x14ac:dyDescent="0.25">
      <c r="A1" s="1" t="s">
        <v>0</v>
      </c>
      <c r="B1" s="2">
        <v>2020</v>
      </c>
      <c r="C1" s="2">
        <v>2021</v>
      </c>
      <c r="D1" s="2">
        <v>2022</v>
      </c>
      <c r="E1" s="2">
        <v>2023</v>
      </c>
      <c r="F1" s="2">
        <v>2024</v>
      </c>
      <c r="G1" s="2">
        <v>2025</v>
      </c>
      <c r="H1" s="2">
        <v>2026</v>
      </c>
      <c r="I1" s="2">
        <v>2027</v>
      </c>
      <c r="J1" s="2">
        <v>2028</v>
      </c>
      <c r="K1" s="2">
        <v>2029</v>
      </c>
      <c r="L1" s="2">
        <v>2030</v>
      </c>
      <c r="M1" s="2">
        <v>2031</v>
      </c>
      <c r="N1" s="2">
        <v>2032</v>
      </c>
      <c r="O1" s="2">
        <v>2033</v>
      </c>
    </row>
    <row r="2" spans="1:15" x14ac:dyDescent="0.25">
      <c r="A2" s="2" t="s">
        <v>1</v>
      </c>
      <c r="B2" s="3">
        <v>1616</v>
      </c>
      <c r="C2" s="3">
        <v>7802</v>
      </c>
      <c r="D2" s="3">
        <v>582</v>
      </c>
      <c r="E2" s="3"/>
      <c r="F2" s="3"/>
      <c r="G2" s="3"/>
      <c r="H2" s="3"/>
      <c r="I2" s="3"/>
      <c r="J2" s="3"/>
      <c r="K2" s="3"/>
      <c r="L2" s="3"/>
      <c r="M2" s="3"/>
      <c r="N2" s="3"/>
      <c r="O2" s="3"/>
    </row>
    <row r="3" spans="1:15" x14ac:dyDescent="0.25">
      <c r="A3" s="2" t="s">
        <v>2</v>
      </c>
      <c r="B3" s="3">
        <v>0</v>
      </c>
      <c r="C3" s="3">
        <v>0</v>
      </c>
      <c r="D3" s="3">
        <v>0</v>
      </c>
      <c r="E3" s="3"/>
      <c r="F3" s="3"/>
      <c r="G3" s="3"/>
      <c r="H3" s="3"/>
      <c r="I3" s="3"/>
      <c r="J3" s="3"/>
      <c r="K3" s="3"/>
      <c r="L3" s="3"/>
      <c r="M3" s="3"/>
      <c r="N3" s="3"/>
      <c r="O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5" x14ac:dyDescent="0.25">
      <c r="A5" s="2" t="s">
        <v>4</v>
      </c>
      <c r="B5" s="3">
        <v>17667</v>
      </c>
      <c r="C5" s="3">
        <v>38776</v>
      </c>
      <c r="D5" s="3">
        <v>65410</v>
      </c>
      <c r="E5" s="3"/>
      <c r="F5" s="3"/>
      <c r="G5" s="3"/>
      <c r="H5" s="3"/>
      <c r="I5" s="3"/>
      <c r="J5" s="3"/>
      <c r="K5" s="3"/>
      <c r="L5" s="3"/>
      <c r="M5" s="3"/>
      <c r="N5" s="3"/>
      <c r="O5" s="3"/>
    </row>
    <row r="6" spans="1:15" x14ac:dyDescent="0.25">
      <c r="A6" s="2" t="s">
        <v>5</v>
      </c>
      <c r="B6" s="3">
        <v>2659</v>
      </c>
      <c r="C6" s="3">
        <v>34887</v>
      </c>
      <c r="D6" s="3">
        <v>30230</v>
      </c>
      <c r="E6" s="3"/>
      <c r="F6" s="3"/>
      <c r="G6" s="3"/>
      <c r="H6" s="3"/>
      <c r="I6" s="3"/>
      <c r="J6" s="3"/>
      <c r="K6" s="3"/>
      <c r="L6" s="3"/>
      <c r="M6" s="3"/>
      <c r="N6" s="3"/>
      <c r="O6" s="3"/>
    </row>
    <row r="7" spans="1:15" x14ac:dyDescent="0.25">
      <c r="A7" s="2" t="s">
        <v>6</v>
      </c>
      <c r="B7" s="3">
        <v>0</v>
      </c>
      <c r="C7" s="3">
        <v>0</v>
      </c>
      <c r="D7" s="3">
        <v>0</v>
      </c>
      <c r="E7" s="3"/>
      <c r="F7" s="3"/>
      <c r="G7" s="3"/>
      <c r="H7" s="3"/>
      <c r="I7" s="3"/>
      <c r="J7" s="3"/>
      <c r="K7" s="3"/>
      <c r="L7" s="3"/>
      <c r="M7" s="3"/>
      <c r="N7" s="3"/>
      <c r="O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331</v>
      </c>
      <c r="C10" s="3">
        <v>151</v>
      </c>
      <c r="D10" s="3"/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5" x14ac:dyDescent="0.25">
      <c r="A11" s="2" t="s">
        <v>10</v>
      </c>
      <c r="B11" s="3">
        <v>417</v>
      </c>
      <c r="C11" s="3">
        <v>263</v>
      </c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</row>
    <row r="12" spans="1:15" x14ac:dyDescent="0.25">
      <c r="A12" s="2" t="s">
        <v>11</v>
      </c>
      <c r="B12" s="3">
        <v>-86</v>
      </c>
      <c r="C12" s="3">
        <v>-112</v>
      </c>
      <c r="D12" s="3">
        <v>0</v>
      </c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</row>
    <row r="13" spans="1:15" x14ac:dyDescent="0.25">
      <c r="A13" s="2" t="s">
        <v>12</v>
      </c>
      <c r="B13" s="3">
        <v>-58</v>
      </c>
      <c r="C13" s="3">
        <v>-998</v>
      </c>
      <c r="D13" s="3">
        <v>3300</v>
      </c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5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15" x14ac:dyDescent="0.25">
      <c r="A17" s="2" t="s">
        <v>16</v>
      </c>
      <c r="B17" s="3">
        <v>0</v>
      </c>
      <c r="C17" s="3">
        <v>0</v>
      </c>
      <c r="D17" s="3">
        <v>0</v>
      </c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</row>
    <row r="18" spans="1:15" x14ac:dyDescent="0.25">
      <c r="A18" s="2" t="s">
        <v>17</v>
      </c>
      <c r="B18" s="3">
        <v>0</v>
      </c>
      <c r="C18" s="3">
        <v>0</v>
      </c>
      <c r="D18" s="3">
        <v>0</v>
      </c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</row>
    <row r="19" spans="1:15" x14ac:dyDescent="0.25">
      <c r="A19" s="2" t="s">
        <v>18</v>
      </c>
      <c r="B19" s="3">
        <v>0</v>
      </c>
      <c r="C19" s="3">
        <v>0</v>
      </c>
      <c r="D19" s="3">
        <v>0</v>
      </c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</row>
    <row r="20" spans="1:15" x14ac:dyDescent="0.25">
      <c r="A20" s="2" t="s">
        <v>19</v>
      </c>
      <c r="B20" s="3">
        <v>0</v>
      </c>
      <c r="C20" s="3">
        <v>0</v>
      </c>
      <c r="D20" s="3">
        <v>0</v>
      </c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</row>
    <row r="21" spans="1:15" x14ac:dyDescent="0.25">
      <c r="A21" s="2" t="s">
        <v>20</v>
      </c>
      <c r="B21" s="3">
        <v>0</v>
      </c>
      <c r="C21" s="3">
        <v>0</v>
      </c>
      <c r="D21" s="3">
        <v>0</v>
      </c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3" spans="1:15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</row>
    <row r="24" spans="1:15" x14ac:dyDescent="0.25">
      <c r="A24" s="2" t="s">
        <v>22</v>
      </c>
      <c r="B24" s="3">
        <v>1</v>
      </c>
      <c r="C24" s="3">
        <v>82</v>
      </c>
      <c r="D24" s="3">
        <v>860</v>
      </c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</row>
    <row r="25" spans="1:15" x14ac:dyDescent="0.25">
      <c r="A25" s="2" t="s">
        <v>23</v>
      </c>
      <c r="B25" s="3">
        <v>257</v>
      </c>
      <c r="C25" s="3">
        <v>29031</v>
      </c>
      <c r="D25" s="3">
        <v>21694</v>
      </c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</row>
    <row r="26" spans="1:15" x14ac:dyDescent="0.25">
      <c r="A26" s="2" t="s">
        <v>24</v>
      </c>
      <c r="B26" s="3">
        <v>4388</v>
      </c>
      <c r="C26" s="3">
        <v>-682</v>
      </c>
      <c r="D26" s="3">
        <v>7529</v>
      </c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15" x14ac:dyDescent="0.25">
      <c r="A28" s="2" t="s">
        <v>26</v>
      </c>
      <c r="B28" s="3">
        <v>11</v>
      </c>
      <c r="C28" s="3">
        <v>1006</v>
      </c>
      <c r="D28" s="3">
        <v>11113</v>
      </c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0" spans="1:15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7" spans="1:15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</row>
    <row r="38" spans="1:15" x14ac:dyDescent="0.25">
      <c r="A38" s="2" t="s">
        <v>34</v>
      </c>
      <c r="B38" s="3">
        <v>10</v>
      </c>
      <c r="C38" s="3">
        <v>1076</v>
      </c>
      <c r="D38" s="3">
        <v>11517</v>
      </c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</row>
    <row r="39" spans="1:15" x14ac:dyDescent="0.25">
      <c r="A39" s="2" t="s">
        <v>35</v>
      </c>
      <c r="B39" s="3">
        <v>16170</v>
      </c>
      <c r="C39" s="3">
        <v>287629</v>
      </c>
      <c r="D39" s="3">
        <v>238677</v>
      </c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</row>
    <row r="40" spans="1:15" x14ac:dyDescent="0.25">
      <c r="A40" s="2" t="s">
        <v>36</v>
      </c>
      <c r="B40" s="3">
        <v>42873</v>
      </c>
      <c r="C40" s="3">
        <v>9409</v>
      </c>
      <c r="D40" s="3">
        <v>20515</v>
      </c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</row>
    <row r="41" spans="1:15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38</v>
      </c>
    </row>
    <row r="3" spans="1:3" x14ac:dyDescent="0.25">
      <c r="A3" t="s">
        <v>39</v>
      </c>
      <c r="B3">
        <f>MATCH("Free Cash Flow to Firm", Financials!A:A, 0)</f>
      </c>
      <c r="C3" t="s">
        <v>40</v>
      </c>
    </row>
    <row r="4" spans="1:2" x14ac:dyDescent="0.25">
      <c r="A4" t="s">
        <v>41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42</v>
      </c>
      <c r="B6" s="4"/>
      <c r="C6" t="s">
        <v>43</v>
      </c>
    </row>
    <row r="7" spans="1:3" x14ac:dyDescent="0.25">
      <c r="A7" s="2" t="s">
        <v>44</v>
      </c>
      <c r="B7" s="4"/>
      <c r="C7" t="s">
        <v>45</v>
      </c>
    </row>
    <row r="8" spans="1:4" x14ac:dyDescent="0.25">
      <c r="A8" s="2" t="s">
        <v>46</v>
      </c>
      <c r="C8" t="s">
        <v>47</v>
      </c>
      <c r="D8" t="s">
        <v>48</v>
      </c>
    </row>
    <row r="9" spans="1:4" x14ac:dyDescent="0.25">
      <c r="A9" s="2" t="s">
        <v>49</v>
      </c>
      <c r="B9" s="4"/>
      <c r="C9" t="s">
        <v>50</v>
      </c>
      <c r="D9" t="s">
        <v>51</v>
      </c>
    </row>
    <row r="10" spans="1:4" x14ac:dyDescent="0.25">
      <c r="A10" s="2" t="s">
        <v>52</v>
      </c>
      <c r="B10" s="4"/>
      <c r="C10" t="s">
        <v>53</v>
      </c>
      <c r="D10" t="s">
        <v>54</v>
      </c>
    </row>
    <row r="11" spans="1:2" x14ac:dyDescent="0.25">
      <c r="A11" s="2" t="s">
        <v>55</v>
      </c>
      <c r="B11" s="4">
        <f>B10+B9*B8</f>
      </c>
    </row>
    <row r="12" spans="1:3" x14ac:dyDescent="0.25">
      <c r="A12" s="2" t="s">
        <v>56</v>
      </c>
      <c r="B12" s="4"/>
      <c r="C12" t="s">
        <v>57</v>
      </c>
    </row>
    <row r="13" spans="1:4" x14ac:dyDescent="0.25">
      <c r="A13" s="2" t="s">
        <v>58</v>
      </c>
      <c r="B13" s="3"/>
      <c r="C13" t="s">
        <v>59</v>
      </c>
      <c r="D13" t="s">
        <v>48</v>
      </c>
    </row>
    <row r="14" spans="1:3" x14ac:dyDescent="0.25">
      <c r="A14" s="2" t="s">
        <v>60</v>
      </c>
      <c r="B14" s="3"/>
      <c r="C14" t="s">
        <v>61</v>
      </c>
    </row>
    <row r="15" spans="1:2" x14ac:dyDescent="0.25">
      <c r="A15" t="s">
        <v>62</v>
      </c>
      <c r="B15" s="4">
        <f>IF(B13+B14&lt;&gt;0,((B13/(B13+B14))*B11)+((B14/(B13+B14))*B12*B7), 0)</f>
      </c>
    </row>
    <row r="16" spans="1:2" x14ac:dyDescent="0.25">
      <c r="A16" t="s">
        <v>63</v>
      </c>
      <c r="B16" s="4">
        <f>IF(B4-NOW()&gt;=0, MIN(YEARFRAC(NOW(),B4),1), 0)</f>
      </c>
    </row>
    <row r="17" spans="1:2" x14ac:dyDescent="0.25">
      <c r="A17" t="s">
        <v>64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65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66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67</v>
      </c>
      <c r="B20" s="3"/>
      <c r="C20" t="s">
        <v>68</v>
      </c>
    </row>
    <row r="21" spans="1:4" x14ac:dyDescent="0.25">
      <c r="A21" s="2" t="s">
        <v>69</v>
      </c>
      <c r="B21" s="3"/>
      <c r="C21" t="s">
        <v>59</v>
      </c>
      <c r="D21" t="s">
        <v>48</v>
      </c>
    </row>
    <row r="22" spans="1:2" x14ac:dyDescent="0.25">
      <c r="A22" t="s">
        <v>70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2023-12-24T11:03:02Z</cp:lastPrinted>
  <dcterms:created xsi:type="dcterms:W3CDTF">2023-12-24T11:03:02Z</dcterms:created>
  <dcterms:modified xsi:type="dcterms:W3CDTF">2023-12-24T11:03:02Z</dcterms:modified>
</cp:coreProperties>
</file>