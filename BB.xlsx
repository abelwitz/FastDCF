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<sst xmlns="http://schemas.openxmlformats.org/spreadsheetml/2006/main" count="74" uniqueCount="71">
  <si>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</si>
  <si>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</si>
  <si>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</si>
  <si>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</si>
  <si>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</si>
  <si>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</si>
  <si>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</si>
  <si>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</si>
  <si>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</si>
  <si>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</si>
  <si>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</si>
  <si>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</si>
  <si>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</si>
  <si>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</si>
  <si>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</si>
  <si>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</si>
  <si>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</si>
  <si>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</si>
  <si>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</si>
  <si>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</si>
  <si>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</si>
  <si>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</si>
  <si>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</si>
  <si>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</si>
  <si>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</si>
  <si>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</si>
  <si>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</si>
  <si>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</si>
  <si>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</si>
  <si>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</si>
  <si>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</si>
  <si>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</si>
  <si>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</si>
  <si>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</si>
  <si>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</si>
  <si>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</si>
  <si>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</si>
  <si>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</si>
  <si>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</si>
  <si>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</si>
  <si>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</si>
  <si>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</si>
  <si>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</si>
  <si>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</si>
  <si>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</si>
  <si>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</si>
  <si>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</si>
  <si>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</si>
  <si>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https://finance.yahoo.com/quote/BB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</si>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</sst>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BB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BB" TargetMode="External"/><Relationship Id="rId5" Type="http://schemas.openxmlformats.org/officeDocument/2006/relationships/hyperlink" Target="https://finance.yahoo.com/quote/BB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11065000</v>
      </c>
      <c r="C2" s="3">
        <v>14953000</v>
      </c>
      <c r="D2" s="3">
        <v>19907000</v>
      </c>
      <c r="E2" s="3">
        <v>18423000</v>
      </c>
      <c r="F2" s="3">
        <v>11073000</v>
      </c>
      <c r="G2" s="3">
        <v>6813000</v>
      </c>
      <c r="H2" s="3">
        <v>3335000</v>
      </c>
      <c r="I2" s="3">
        <v>2160000</v>
      </c>
      <c r="J2" s="3">
        <v>1309000</v>
      </c>
      <c r="K2" s="3">
        <v>932000</v>
      </c>
      <c r="L2" s="3">
        <v>904000</v>
      </c>
      <c r="M2" s="3">
        <v>1040000</v>
      </c>
      <c r="N2" s="3">
        <v>893000</v>
      </c>
      <c r="O2" s="3">
        <v>718000</v>
      </c>
      <c r="P2" s="3">
        <v>656000</v>
      </c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5968000</v>
      </c>
      <c r="C3" s="3">
        <v>8369000</v>
      </c>
      <c r="D3" s="3">
        <v>11082000</v>
      </c>
      <c r="E3" s="3">
        <v>11848000</v>
      </c>
      <c r="F3" s="3">
        <v>7639000</v>
      </c>
      <c r="G3" s="3">
        <v>6856000</v>
      </c>
      <c r="H3" s="3">
        <v>1731000</v>
      </c>
      <c r="I3" s="3">
        <v>1219000</v>
      </c>
      <c r="J3" s="3">
        <v>692000</v>
      </c>
      <c r="K3" s="3">
        <v>262000</v>
      </c>
      <c r="L3" s="3">
        <v>206000</v>
      </c>
      <c r="M3" s="3">
        <v>277000</v>
      </c>
      <c r="N3" s="3">
        <v>250000</v>
      </c>
      <c r="O3" s="3">
        <v>251000</v>
      </c>
      <c r="P3" s="3">
        <v>237000</v>
      </c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685000</v>
      </c>
      <c r="C5" s="3">
        <v>965000</v>
      </c>
      <c r="D5" s="3">
        <v>1351000</v>
      </c>
      <c r="E5" s="3">
        <v>1556000</v>
      </c>
      <c r="F5" s="3">
        <v>1509000</v>
      </c>
      <c r="G5" s="3">
        <v>1286000</v>
      </c>
      <c r="H5" s="3">
        <v>711000</v>
      </c>
      <c r="I5" s="3">
        <v>469000</v>
      </c>
      <c r="J5" s="3">
        <v>306000</v>
      </c>
      <c r="K5" s="3">
        <v>239000</v>
      </c>
      <c r="L5" s="3">
        <v>219000</v>
      </c>
      <c r="M5" s="3">
        <v>259000</v>
      </c>
      <c r="N5" s="3">
        <v>215000</v>
      </c>
      <c r="O5" s="3">
        <v>219000</v>
      </c>
      <c r="P5" s="3">
        <v>207000</v>
      </c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1495000</v>
      </c>
      <c r="C6" s="3">
        <v>1907000</v>
      </c>
      <c r="D6" s="3">
        <v>2400000</v>
      </c>
      <c r="E6" s="3">
        <v>2600000</v>
      </c>
      <c r="F6" s="3">
        <v>2111000</v>
      </c>
      <c r="G6" s="3">
        <v>2103000</v>
      </c>
      <c r="H6" s="3">
        <v>769000</v>
      </c>
      <c r="I6" s="3">
        <v>653000</v>
      </c>
      <c r="J6" s="3">
        <v>553000</v>
      </c>
      <c r="K6" s="3">
        <v>476000</v>
      </c>
      <c r="L6" s="3">
        <v>409000</v>
      </c>
      <c r="M6" s="3">
        <v>493000</v>
      </c>
      <c r="N6" s="3">
        <v>344000</v>
      </c>
      <c r="O6" s="3">
        <v>297000</v>
      </c>
      <c r="P6" s="3">
        <v>340000</v>
      </c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195000</v>
      </c>
      <c r="C7" s="3">
        <v>474000</v>
      </c>
      <c r="D7" s="3">
        <v>438000</v>
      </c>
      <c r="E7" s="3">
        <v>922000</v>
      </c>
      <c r="F7" s="3">
        <v>1049000</v>
      </c>
      <c r="G7" s="3">
        <v>3731000</v>
      </c>
      <c r="H7" s="3">
        <v>547000</v>
      </c>
      <c r="I7" s="3">
        <v>42000</v>
      </c>
      <c r="J7" s="3">
        <v>939000</v>
      </c>
      <c r="K7" s="3">
        <v>-328000</v>
      </c>
      <c r="L7" s="3">
        <v>10000</v>
      </c>
      <c r="M7" s="3">
        <v>160000</v>
      </c>
      <c r="N7" s="3">
        <v>1191000</v>
      </c>
      <c r="O7" s="3">
        <v>-47000</v>
      </c>
      <c r="P7" s="3">
        <v>597000</v>
      </c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0</v>
      </c>
      <c r="C12" s="3">
        <v>0</v>
      </c>
      <c r="D12" s="3">
        <v>0</v>
      </c>
      <c r="E12" s="3">
        <v>0</v>
      </c>
      <c r="F12" s="3">
        <v>0</v>
      </c>
      <c r="G12" s="3">
        <v>0</v>
      </c>
      <c r="H12" s="3">
        <v>0</v>
      </c>
      <c r="I12" s="3">
        <v>0</v>
      </c>
      <c r="J12" s="3">
        <v>0</v>
      </c>
      <c r="K12" s="3">
        <v>0</v>
      </c>
      <c r="L12" s="3">
        <v>0</v>
      </c>
      <c r="M12" s="3">
        <v>0</v>
      </c>
      <c r="N12" s="3">
        <v>0</v>
      </c>
      <c r="O12" s="3">
        <v>0</v>
      </c>
      <c r="P12" s="3">
        <v>0</v>
      </c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v>79000</v>
      </c>
      <c r="C13" s="3">
        <v>28000</v>
      </c>
      <c r="D13" s="3">
        <v>8000</v>
      </c>
      <c r="E13" s="3">
        <v>21000</v>
      </c>
      <c r="F13" s="3">
        <v>15000</v>
      </c>
      <c r="G13" s="3">
        <v>-21000</v>
      </c>
      <c r="H13" s="3">
        <v>38000</v>
      </c>
      <c r="I13" s="3">
        <v>-59000</v>
      </c>
      <c r="J13" s="3">
        <v>-27000</v>
      </c>
      <c r="K13" s="3">
        <v>123000</v>
      </c>
      <c r="L13" s="3">
        <v>17000</v>
      </c>
      <c r="M13" s="3">
        <v>1000</v>
      </c>
      <c r="N13" s="3">
        <v>-6000</v>
      </c>
      <c r="O13" s="3">
        <v>21000</v>
      </c>
      <c r="P13" s="3">
        <v>5000</v>
      </c>
      <c r="Q13" s="3"/>
      <c r="R13" s="3"/>
      <c r="S13" s="3"/>
      <c r="T13" s="3"/>
      <c r="U13" s="3"/>
      <c r="V13" s="3"/>
      <c r="W13" s="3"/>
      <c r="X13" s="3"/>
      <c r="Y13" s="3"/>
      <c r="Z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 s="3">
        <f>Z12+Z13</f>
      </c>
    </row>
    <row r="15" spans="1:26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 s="3">
        <f>Z9+Z14-Z15</f>
      </c>
    </row>
    <row r="17" spans="1:26" x14ac:dyDescent="0.25">
      <c r="A17" s="2" t="s">
        <v>16</v>
      </c>
      <c r="B17" s="3">
        <v>908000</v>
      </c>
      <c r="C17" s="3">
        <v>809000</v>
      </c>
      <c r="D17" s="3">
        <v>1233000</v>
      </c>
      <c r="E17" s="3">
        <v>347000</v>
      </c>
      <c r="F17" s="3">
        <v>-592000</v>
      </c>
      <c r="G17" s="3">
        <v>-1311000</v>
      </c>
      <c r="H17" s="3">
        <v>-81000</v>
      </c>
      <c r="I17" s="3">
        <v>-74000</v>
      </c>
      <c r="J17" s="3">
        <v>-2000</v>
      </c>
      <c r="K17" s="3">
        <v>1000</v>
      </c>
      <c r="L17" s="3">
        <v>-16000</v>
      </c>
      <c r="M17" s="3">
        <v>4000</v>
      </c>
      <c r="N17" s="3">
        <v>-9000</v>
      </c>
      <c r="O17" s="3">
        <v>7000</v>
      </c>
      <c r="P17" s="3">
        <v>14000</v>
      </c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>
        <v>0</v>
      </c>
      <c r="E18" s="3">
        <v>-7000</v>
      </c>
      <c r="F18" s="3">
        <v>-18000</v>
      </c>
      <c r="G18" s="3">
        <v>0</v>
      </c>
      <c r="H18" s="3">
        <v>0</v>
      </c>
      <c r="I18" s="3">
        <v>0</v>
      </c>
      <c r="J18" s="3">
        <v>0</v>
      </c>
      <c r="K18" s="3">
        <v>0</v>
      </c>
      <c r="L18" s="3">
        <v>0</v>
      </c>
      <c r="M18" s="3">
        <v>0</v>
      </c>
      <c r="N18" s="3">
        <v>0</v>
      </c>
      <c r="O18" s="3">
        <v>0</v>
      </c>
      <c r="P18" s="3">
        <v>0</v>
      </c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>
        <v>0</v>
      </c>
      <c r="J19" s="3">
        <v>0</v>
      </c>
      <c r="K19" s="3">
        <v>0</v>
      </c>
      <c r="L19" s="3">
        <v>0</v>
      </c>
      <c r="M19" s="3">
        <v>0</v>
      </c>
      <c r="N19" s="3">
        <v>0</v>
      </c>
      <c r="O19" s="3">
        <v>0</v>
      </c>
      <c r="P19" s="3">
        <v>0</v>
      </c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>
        <v>0</v>
      </c>
      <c r="H20" s="3">
        <v>0</v>
      </c>
      <c r="I20" s="3">
        <v>0</v>
      </c>
      <c r="J20" s="3">
        <v>0</v>
      </c>
      <c r="K20" s="3">
        <v>0</v>
      </c>
      <c r="L20" s="3">
        <v>0</v>
      </c>
      <c r="M20" s="3">
        <v>0</v>
      </c>
      <c r="N20" s="3">
        <v>0</v>
      </c>
      <c r="O20" s="3">
        <v>0</v>
      </c>
      <c r="P20" s="3">
        <v>0</v>
      </c>
      <c r="Q20" s="3"/>
      <c r="R20" s="3"/>
      <c r="S20" s="3"/>
      <c r="T20" s="3"/>
      <c r="U20" s="3"/>
      <c r="V20" s="3"/>
      <c r="W20" s="3"/>
      <c r="X20" s="3"/>
      <c r="Y20" s="3"/>
      <c r="Z20" s="3"/>
    </row>
    <row r="21" spans="1:26" x14ac:dyDescent="0.25">
      <c r="A21" s="2" t="s">
        <v>20</v>
      </c>
      <c r="B21" s="3">
        <v>0</v>
      </c>
      <c r="C21" s="3">
        <v>0</v>
      </c>
      <c r="D21" s="3">
        <v>0</v>
      </c>
      <c r="E21" s="3">
        <v>0</v>
      </c>
      <c r="F21" s="3">
        <v>0</v>
      </c>
      <c r="G21" s="3">
        <v>0</v>
      </c>
      <c r="H21" s="3">
        <v>0</v>
      </c>
      <c r="I21" s="3">
        <v>0</v>
      </c>
      <c r="J21" s="3">
        <v>0</v>
      </c>
      <c r="K21" s="3">
        <v>0</v>
      </c>
      <c r="L21" s="3">
        <v>0</v>
      </c>
      <c r="M21" s="3">
        <v>0</v>
      </c>
      <c r="N21" s="3">
        <v>0</v>
      </c>
      <c r="O21" s="3">
        <v>0</v>
      </c>
      <c r="P21" s="3">
        <v>0</v>
      </c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 s="3">
        <f>Z16-Z17+Z18-Z19+Z20+Z21</f>
      </c>
    </row>
    <row r="23" spans="1:26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195000</v>
      </c>
      <c r="C24" s="3">
        <v>310000</v>
      </c>
      <c r="D24" s="3">
        <v>438000</v>
      </c>
      <c r="E24" s="3">
        <v>567000</v>
      </c>
      <c r="F24" s="3">
        <v>714000</v>
      </c>
      <c r="G24" s="3">
        <v>606000</v>
      </c>
      <c r="H24" s="3">
        <v>298000</v>
      </c>
      <c r="I24" s="3">
        <v>277000</v>
      </c>
      <c r="J24" s="3">
        <v>186000</v>
      </c>
      <c r="K24" s="3">
        <v>153000</v>
      </c>
      <c r="L24" s="3">
        <v>136000</v>
      </c>
      <c r="M24" s="3">
        <v>194000</v>
      </c>
      <c r="N24" s="3">
        <v>182000</v>
      </c>
      <c r="O24" s="3">
        <v>165000</v>
      </c>
      <c r="P24" s="3">
        <v>96000</v>
      </c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v>38000</v>
      </c>
      <c r="C25" s="3">
        <v>58000</v>
      </c>
      <c r="D25" s="3">
        <v>72000</v>
      </c>
      <c r="E25" s="3">
        <v>97000</v>
      </c>
      <c r="F25" s="3">
        <v>86000</v>
      </c>
      <c r="G25" s="3">
        <v>68000</v>
      </c>
      <c r="H25" s="3">
        <v>50000</v>
      </c>
      <c r="I25" s="3">
        <v>60000</v>
      </c>
      <c r="J25" s="3">
        <v>60000</v>
      </c>
      <c r="K25" s="3">
        <v>49000</v>
      </c>
      <c r="L25" s="3">
        <v>67000</v>
      </c>
      <c r="M25" s="3">
        <v>63000</v>
      </c>
      <c r="N25" s="3">
        <v>44000</v>
      </c>
      <c r="O25" s="3">
        <v>36000</v>
      </c>
      <c r="P25" s="3">
        <v>34000</v>
      </c>
      <c r="Q25" s="3"/>
      <c r="R25" s="3"/>
      <c r="S25" s="3"/>
      <c r="T25" s="3"/>
      <c r="U25" s="3"/>
      <c r="V25" s="3"/>
      <c r="W25" s="3"/>
      <c r="X25" s="3"/>
      <c r="Y25" s="3"/>
      <c r="Z25" s="3"/>
    </row>
    <row r="26" spans="1:26" x14ac:dyDescent="0.25">
      <c r="A26" s="2" t="s">
        <v>24</v>
      </c>
      <c r="B26" s="3">
        <v>-674000</v>
      </c>
      <c r="C26" s="3">
        <v>210000</v>
      </c>
      <c r="D26" s="3">
        <v>88000</v>
      </c>
      <c r="E26" s="3">
        <v>1084000</v>
      </c>
      <c r="F26" s="3">
        <v>2149000</v>
      </c>
      <c r="G26" s="3">
        <v>5040000</v>
      </c>
      <c r="H26" s="3">
        <v>769000</v>
      </c>
      <c r="I26" s="3">
        <v>128000</v>
      </c>
      <c r="J26" s="3">
        <v>736000</v>
      </c>
      <c r="K26" s="3">
        <v>97000</v>
      </c>
      <c r="L26" s="3">
        <v>-196000</v>
      </c>
      <c r="M26" s="3">
        <v>-79000</v>
      </c>
      <c r="N26" s="3">
        <v>960000</v>
      </c>
      <c r="O26" s="3">
        <v>-241000</v>
      </c>
      <c r="P26" s="3">
        <v>341000</v>
      </c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 s="3">
        <f>Z22+Z24+Z25+Z26</f>
      </c>
    </row>
    <row r="28" spans="1:26" x14ac:dyDescent="0.25">
      <c r="A28" s="2" t="s">
        <v>26</v>
      </c>
      <c r="B28" s="3">
        <v>834000</v>
      </c>
      <c r="C28" s="3">
        <v>1009000</v>
      </c>
      <c r="D28" s="3">
        <v>1039000</v>
      </c>
      <c r="E28" s="3">
        <v>902000</v>
      </c>
      <c r="F28" s="3">
        <v>418000</v>
      </c>
      <c r="G28" s="3">
        <v>283000</v>
      </c>
      <c r="H28" s="3">
        <v>87000</v>
      </c>
      <c r="I28" s="3">
        <v>32000</v>
      </c>
      <c r="J28" s="3">
        <v>17000</v>
      </c>
      <c r="K28" s="3">
        <v>15000</v>
      </c>
      <c r="L28" s="3">
        <v>17000</v>
      </c>
      <c r="M28" s="3">
        <v>12000</v>
      </c>
      <c r="N28" s="3">
        <v>8000</v>
      </c>
      <c r="O28" s="3">
        <v>8000</v>
      </c>
      <c r="P28" s="3">
        <v>7000</v>
      </c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 s="3">
        <f>Z27-Z28</f>
      </c>
    </row>
    <row r="30" spans="1:26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 s="4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 s="4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 s="4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 s="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 s="4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 s="4">
        <f>IF(AND(COUNT(Y29,Z29)=2, Z29&lt;&gt;0, Y2&lt;&gt;0), Z27/Y29-1, " ")</f>
      </c>
    </row>
    <row r="37" spans="1:26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1334648</v>
      </c>
      <c r="C38" s="3">
        <v>1957000</v>
      </c>
      <c r="D38" s="3">
        <v>2504000</v>
      </c>
      <c r="E38" s="3">
        <v>2733000</v>
      </c>
      <c r="F38" s="3">
        <v>2073000</v>
      </c>
      <c r="G38" s="3">
        <v>1136000</v>
      </c>
      <c r="H38" s="3">
        <v>556000</v>
      </c>
      <c r="I38" s="3">
        <v>412000</v>
      </c>
      <c r="J38" s="3">
        <v>91000</v>
      </c>
      <c r="K38" s="3">
        <v>64000</v>
      </c>
      <c r="L38" s="3">
        <v>85000</v>
      </c>
      <c r="M38" s="3">
        <v>70000</v>
      </c>
      <c r="N38" s="3">
        <v>48000</v>
      </c>
      <c r="O38" s="3">
        <v>41000</v>
      </c>
      <c r="P38" s="3">
        <v>25000</v>
      </c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v>8101372</v>
      </c>
      <c r="C39" s="3">
        <v>10205000</v>
      </c>
      <c r="D39" s="3">
        <v>12875000</v>
      </c>
      <c r="E39" s="3">
        <v>13731000</v>
      </c>
      <c r="F39" s="3">
        <v>13165000</v>
      </c>
      <c r="G39" s="3">
        <v>7552000</v>
      </c>
      <c r="H39" s="3">
        <v>6558000</v>
      </c>
      <c r="I39" s="3">
        <v>5534000</v>
      </c>
      <c r="J39" s="3">
        <v>3296000</v>
      </c>
      <c r="K39" s="3">
        <v>3780000</v>
      </c>
      <c r="L39" s="3">
        <v>3968000</v>
      </c>
      <c r="M39" s="3">
        <v>3888000</v>
      </c>
      <c r="N39" s="3">
        <v>2818000</v>
      </c>
      <c r="O39" s="3">
        <v>2567000</v>
      </c>
      <c r="P39" s="3">
        <v>1679000</v>
      </c>
      <c r="Q39" s="3"/>
      <c r="R39" s="3"/>
      <c r="S39" s="3"/>
      <c r="T39" s="3"/>
      <c r="U39" s="3"/>
      <c r="V39" s="3"/>
      <c r="W39" s="3"/>
      <c r="X39" s="3"/>
      <c r="Y39" s="3"/>
      <c r="Z39" s="3"/>
    </row>
    <row r="40" spans="1:26" x14ac:dyDescent="0.25">
      <c r="A40" s="2" t="s">
        <v>36</v>
      </c>
      <c r="B40" s="3">
        <v>2226372</v>
      </c>
      <c r="C40" s="3">
        <v>2602000</v>
      </c>
      <c r="D40" s="3">
        <v>3937000</v>
      </c>
      <c r="E40" s="3">
        <v>3631000</v>
      </c>
      <c r="F40" s="3">
        <v>3705000</v>
      </c>
      <c r="G40" s="3">
        <v>3927000</v>
      </c>
      <c r="H40" s="3">
        <v>3127000</v>
      </c>
      <c r="I40" s="3">
        <v>2326000</v>
      </c>
      <c r="J40" s="3">
        <v>1239000</v>
      </c>
      <c r="K40" s="3">
        <v>1275000</v>
      </c>
      <c r="L40" s="3">
        <v>1332000</v>
      </c>
      <c r="M40" s="3">
        <v>1359000</v>
      </c>
      <c r="N40" s="3">
        <v>1314000</v>
      </c>
      <c r="O40" s="3">
        <v>1011000</v>
      </c>
      <c r="P40" s="3">
        <v>822000</v>
      </c>
      <c r="Q40" s="3"/>
      <c r="R40" s="3"/>
      <c r="S40" s="3"/>
      <c r="T40" s="3"/>
      <c r="U40" s="3"/>
      <c r="V40" s="3"/>
      <c r="W40" s="3"/>
      <c r="X40" s="3"/>
      <c r="Y40" s="3"/>
      <c r="Z40" s="3"/>
    </row>
    <row r="41" spans="1:26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>
        <f>G39-G40</f>
      </c>
      <c r="H41" s="3">
        <f>H39-H40</f>
      </c>
      <c r="I41" s="3">
        <f>I39-I40</f>
      </c>
      <c r="J41" s="3">
        <f>J39-J40</f>
      </c>
      <c r="K41" s="3">
        <f>K39-K40</f>
      </c>
      <c r="L41" s="3">
        <f>L39-L40</f>
      </c>
      <c r="M41" s="3">
        <f>M39-M40</f>
      </c>
      <c r="N41" s="3">
        <f>N39-N40</f>
      </c>
      <c r="O41" s="3">
        <f>O39-O40</f>
      </c>
      <c r="P41" s="3">
        <f>P39-P40</f>
      </c>
      <c r="Q41" s="3"/>
      <c r="R41" s="3"/>
      <c r="S41" s="3"/>
      <c r="T41" s="3"/>
      <c r="U41" s="3"/>
      <c r="V41" s="3"/>
      <c r="W41" s="3"/>
      <c r="X41" s="3"/>
      <c r="Y41" s="3"/>
      <c r="Z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2, 28)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2023-12-24T10:59:41Z</cp:lastPrinted>
  <dcterms:created xsi:type="dcterms:W3CDTF">2023-12-24T10:59:41Z</dcterms:created>
  <dcterms:modified xsi:type="dcterms:W3CDTF">2023-12-24T10:59:41Z</dcterms:modified>
</cp:coreProperties>
</file>