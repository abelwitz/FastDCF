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<sst xmlns="http://schemas.openxmlformats.org/spreadsheetml/2006/main" count="74" uniqueCount="71">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</sst>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55189</v>
      </c>
      <c r="C2" s="3">
        <v>137764</v>
      </c>
      <c r="D2" s="3">
        <v>274340</v>
      </c>
      <c r="E2" s="3">
        <v>427145</v>
      </c>
      <c r="F2" s="3">
        <v>920802</v>
      </c>
      <c r="G2" s="3">
        <v>1164043</v>
      </c>
      <c r="H2" s="3">
        <v>1384826</v>
      </c>
      <c r="I2" s="3">
        <v>1466812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7892</v>
      </c>
      <c r="C3" s="3">
        <v>11559</v>
      </c>
      <c r="D3" s="3">
        <v>171467</v>
      </c>
      <c r="E3" s="3">
        <v>291030</v>
      </c>
      <c r="F3" s="3">
        <v>508004</v>
      </c>
      <c r="G3" s="3">
        <v>697455</v>
      </c>
      <c r="H3" s="3">
        <v>896350</v>
      </c>
      <c r="I3" s="3">
        <v>967067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6026</v>
      </c>
      <c r="C5" s="3">
        <v>6736</v>
      </c>
      <c r="D5" s="3">
        <v>13425</v>
      </c>
      <c r="E5" s="3">
        <v>18901</v>
      </c>
      <c r="F5" s="3">
        <v>53153</v>
      </c>
      <c r="G5" s="3">
        <v>84135</v>
      </c>
      <c r="H5" s="3">
        <v>140707</v>
      </c>
      <c r="I5" s="3">
        <v>154325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23784</v>
      </c>
      <c r="C6" s="3">
        <v>50433</v>
      </c>
      <c r="D6" s="3">
        <v>100438</v>
      </c>
      <c r="E6" s="3">
        <v>154916</v>
      </c>
      <c r="F6" s="3">
        <v>389773</v>
      </c>
      <c r="G6" s="3">
        <v>552444</v>
      </c>
      <c r="H6" s="3">
        <v>666528</v>
      </c>
      <c r="I6" s="3">
        <v>683253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32946</v>
      </c>
      <c r="C7" s="3">
        <v>69357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155041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62</v>
      </c>
      <c r="C10" s="3">
        <v>31</v>
      </c>
      <c r="D10" s="3">
        <v>59</v>
      </c>
      <c r="E10" s="3">
        <v>95</v>
      </c>
      <c r="F10" s="3">
        <v>0</v>
      </c>
      <c r="G10" s="3">
        <v>0</v>
      </c>
      <c r="H10" s="3">
        <v>0</v>
      </c>
      <c r="I10" s="3">
        <v>1081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898</v>
      </c>
      <c r="C11" s="3">
        <v>612</v>
      </c>
      <c r="D11" s="3">
        <v>616</v>
      </c>
      <c r="E11" s="3">
        <v>535</v>
      </c>
      <c r="F11" s="3">
        <v>528</v>
      </c>
      <c r="G11" s="3">
        <v>1976</v>
      </c>
      <c r="H11" s="3">
        <v>26144</v>
      </c>
      <c r="I11" s="3">
        <v>29335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-836</v>
      </c>
      <c r="C12" s="3">
        <v>-581</v>
      </c>
      <c r="D12" s="3">
        <v>-557</v>
      </c>
      <c r="E12" s="3">
        <v>-440</v>
      </c>
      <c r="F12" s="3">
        <v>-528</v>
      </c>
      <c r="G12" s="3">
        <v>-1976</v>
      </c>
      <c r="H12" s="3">
        <v>-26144</v>
      </c>
      <c r="I12" s="3">
        <v>-28254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x14ac:dyDescent="0.25">
      <c r="A13" s="2" t="s">
        <v>12</v>
      </c>
      <c r="B13" s="3">
        <v>-458</v>
      </c>
      <c r="C13" s="3">
        <v>-728</v>
      </c>
      <c r="D13" s="3">
        <v>-4485</v>
      </c>
      <c r="E13" s="3">
        <v>-1</v>
      </c>
      <c r="F13" s="3">
        <v>834</v>
      </c>
      <c r="G13" s="3">
        <v>756</v>
      </c>
      <c r="H13" s="3">
        <v>1697</v>
      </c>
      <c r="I13" s="3">
        <v>1943</v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>
        <f>Z12+Z13</f>
      </c>
    </row>
    <row r="15" spans="1:25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>
        <f>Z9+Z14-Z15</f>
      </c>
    </row>
    <row r="17" spans="1:25" x14ac:dyDescent="0.25">
      <c r="A17" s="2" t="s">
        <v>16</v>
      </c>
      <c r="B17" s="3">
        <v>0</v>
      </c>
      <c r="C17" s="3">
        <v>134</v>
      </c>
      <c r="D17" s="3">
        <v>75</v>
      </c>
      <c r="E17" s="3">
        <v>5</v>
      </c>
      <c r="F17" s="3">
        <v>584</v>
      </c>
      <c r="G17" s="3">
        <v>-1550</v>
      </c>
      <c r="H17" s="3">
        <v>-228</v>
      </c>
      <c r="I17" s="3">
        <v>-790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>
        <f>Z16-Z17+Z18-Z19+Z20+Z21</f>
      </c>
    </row>
    <row r="23" spans="1:25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1143</v>
      </c>
      <c r="C24" s="3">
        <v>1578</v>
      </c>
      <c r="D24" s="3">
        <v>4455</v>
      </c>
      <c r="E24" s="3">
        <v>7076</v>
      </c>
      <c r="F24" s="3">
        <v>15431</v>
      </c>
      <c r="G24" s="3">
        <v>24458</v>
      </c>
      <c r="H24" s="3">
        <v>60757</v>
      </c>
      <c r="I24" s="3">
        <v>62948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x14ac:dyDescent="0.25">
      <c r="A25" s="2" t="s">
        <v>23</v>
      </c>
      <c r="B25" s="3">
        <v>477</v>
      </c>
      <c r="C25" s="3">
        <v>1612</v>
      </c>
      <c r="D25" s="3">
        <v>9187</v>
      </c>
      <c r="E25" s="3">
        <v>25500</v>
      </c>
      <c r="F25" s="3">
        <v>87055</v>
      </c>
      <c r="G25" s="3">
        <v>111645</v>
      </c>
      <c r="H25" s="3">
        <v>138458</v>
      </c>
      <c r="I25" s="3">
        <v>128431</v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x14ac:dyDescent="0.25">
      <c r="A26" s="2" t="s">
        <v>24</v>
      </c>
      <c r="B26" s="3">
        <v>-12341</v>
      </c>
      <c r="C26" s="3">
        <v>1796</v>
      </c>
      <c r="D26" s="3">
        <v>8343</v>
      </c>
      <c r="E26" s="3">
        <v>5572</v>
      </c>
      <c r="F26" s="3">
        <v>-72080</v>
      </c>
      <c r="G26" s="3">
        <v>33558</v>
      </c>
      <c r="H26" s="3">
        <v>143763</v>
      </c>
      <c r="I26" s="3">
        <v>327016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>
        <f>Z22+Z24+Z25+Z26</f>
      </c>
    </row>
    <row r="28" spans="1:25" x14ac:dyDescent="0.25">
      <c r="A28" s="2" t="s">
        <v>26</v>
      </c>
      <c r="B28" s="3">
        <v>1892</v>
      </c>
      <c r="C28" s="3">
        <v>8211</v>
      </c>
      <c r="D28" s="3">
        <v>11644</v>
      </c>
      <c r="E28" s="3">
        <v>7580</v>
      </c>
      <c r="F28" s="3">
        <v>25465</v>
      </c>
      <c r="G28" s="3">
        <v>23512</v>
      </c>
      <c r="H28" s="3">
        <v>59769</v>
      </c>
      <c r="I28" s="3">
        <v>15656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>
        <f>Z27-Z28</f>
      </c>
    </row>
    <row r="30" spans="1:25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>
        <f>IF(AND(COUNT(Y29,Z29)=2, Z29&lt;&gt;0, Y2&lt;&gt;0), Z27/Y29-1, " ")</f>
      </c>
    </row>
    <row r="37" spans="1:25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0</v>
      </c>
      <c r="C38" s="3">
        <v>8683</v>
      </c>
      <c r="D38" s="3">
        <v>15576</v>
      </c>
      <c r="E38" s="3">
        <v>35151</v>
      </c>
      <c r="F38" s="3">
        <v>42921</v>
      </c>
      <c r="G38" s="3">
        <v>66370</v>
      </c>
      <c r="H38" s="3">
        <v>124088</v>
      </c>
      <c r="I38" s="3">
        <v>116742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v>0</v>
      </c>
      <c r="C39" s="3">
        <v>99209</v>
      </c>
      <c r="D39" s="3">
        <v>178015</v>
      </c>
      <c r="E39" s="3">
        <v>673335</v>
      </c>
      <c r="F39" s="3">
        <v>749290</v>
      </c>
      <c r="G39" s="3">
        <v>1240657</v>
      </c>
      <c r="H39" s="3">
        <v>1184810</v>
      </c>
      <c r="I39" s="3">
        <v>1166322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x14ac:dyDescent="0.25">
      <c r="A40" s="2" t="s">
        <v>36</v>
      </c>
      <c r="B40" s="3">
        <v>87771</v>
      </c>
      <c r="C40" s="3">
        <v>182219</v>
      </c>
      <c r="D40" s="3">
        <v>73475</v>
      </c>
      <c r="E40" s="3">
        <v>165104</v>
      </c>
      <c r="F40" s="3">
        <v>165933</v>
      </c>
      <c r="G40" s="3">
        <v>497270</v>
      </c>
      <c r="H40" s="3">
        <v>630551</v>
      </c>
      <c r="I40" s="3">
        <v>1013644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>
        <f>I39-I40</f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2023-12-24T11:00:21Z</cp:lastPrinted>
  <dcterms:created xsi:type="dcterms:W3CDTF">2023-12-24T11:00:21Z</dcterms:created>
  <dcterms:modified xsi:type="dcterms:W3CDTF">2023-12-24T11:00:21Z</dcterms:modified>
</cp:coreProperties>
</file>