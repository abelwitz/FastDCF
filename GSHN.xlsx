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<sst xmlns="http://schemas.openxmlformats.org/spreadsheetml/2006/main" count="72" uniqueCount="68">
  <si>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</si>
  <si>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</si>
  <si>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</si>
  <si>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</si>
  <si>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</si>
  <si>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</si>
  <si>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</si>
  <si>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</si>
  <si>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</si>
  <si>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</si>
  <si>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</si>
  <si>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</si>
  <si>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</si>
  <si>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</si>
  <si>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</si>
  <si>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</si>
  <si>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</si>
  <si>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</si>
  <si>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</si>
  <si>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</si>
  <si>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</si>
  <si>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</si>
  <si>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</si>
  <si>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</si>
  <si>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</si>
  <si>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</si>
  <si>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</si>
  <si>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</si>
  <si>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</si>
  <si>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</si>
  <si>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</si>
  <si>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</si>
  <si>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</si>
  <si>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</si>
  <si>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</si>
  <si>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</si>
  <si>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</si>
  <si>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</si>
  <si>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</si>
  <si>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</si>
  <si>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</si>
  <si>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</si>
  <si>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</si>
  <si>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</si>
  <si>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</si>
  <si>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https://finance.yahoo.com/quote/GSHN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</si>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</sst>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H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HN" TargetMode="External"/><Relationship Id="rId5" Type="http://schemas.openxmlformats.org/officeDocument/2006/relationships/hyperlink" Target="https://finance.yahoo.com/quote/GS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3800</v>
      </c>
      <c r="D2" s="3">
        <v>0</v>
      </c>
      <c r="E2" s="3">
        <v>8199277</v>
      </c>
      <c r="F2" s="3">
        <v>1928456</v>
      </c>
      <c r="G2" s="3">
        <v>2407402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1800</v>
      </c>
      <c r="D3" s="3">
        <v>0</v>
      </c>
      <c r="E3" s="3">
        <v>4954625</v>
      </c>
      <c r="F3" s="3">
        <v>1203532</v>
      </c>
      <c r="G3" s="3">
        <v>1458804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2201</v>
      </c>
      <c r="C6" s="3">
        <v>34304</v>
      </c>
      <c r="D6" s="3">
        <v>33740</v>
      </c>
      <c r="E6" s="3">
        <v>6239120</v>
      </c>
      <c r="F6" s="3">
        <v>2697039</v>
      </c>
      <c r="G6" s="3">
        <v>1443045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1120538</v>
      </c>
      <c r="F7" s="3">
        <v>8299268</v>
      </c>
      <c r="G7" s="3">
        <v>3365426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23333</v>
      </c>
      <c r="H10" s="3">
        <v>20950</v>
      </c>
      <c r="I10" s="3">
        <v>4222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55600</v>
      </c>
      <c r="F12" s="3">
        <v>-395913</v>
      </c>
      <c r="G12" s="3">
        <v>-3721556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-1014434</v>
      </c>
      <c r="F16" s="3">
        <v>-760013</v>
      </c>
      <c r="G16" s="3">
        <v>1895387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-26534</v>
      </c>
      <c r="F17" s="3">
        <v>-28705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-884</v>
      </c>
      <c r="G18" s="3">
        <v>-41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101434</v>
      </c>
      <c r="F22" s="3">
        <v>114675</v>
      </c>
      <c r="G22" s="3">
        <v>78169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10000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9800</v>
      </c>
      <c r="D24" s="3">
        <v>2500</v>
      </c>
      <c r="E24" s="3">
        <v>-638496</v>
      </c>
      <c r="F24" s="3">
        <v>5049585</v>
      </c>
      <c r="G24" s="3">
        <v>7725460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29260</v>
      </c>
      <c r="F26" s="3">
        <v>67461</v>
      </c>
      <c r="G26" s="3">
        <v>11610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241421</v>
      </c>
      <c r="F36" s="3">
        <v>217365</v>
      </c>
      <c r="G36" s="3">
        <v>145766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59649</v>
      </c>
      <c r="C37" s="3">
        <v>1500410</v>
      </c>
      <c r="D37" s="3">
        <v>60905</v>
      </c>
      <c r="E37" s="3">
        <v>16976358</v>
      </c>
      <c r="F37" s="3">
        <v>6953121</v>
      </c>
      <c r="G37" s="3">
        <v>2052633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16000</v>
      </c>
      <c r="C38" s="3">
        <v>1418065</v>
      </c>
      <c r="D38" s="3">
        <v>12300</v>
      </c>
      <c r="E38" s="3">
        <v>17008492</v>
      </c>
      <c r="F38" s="3">
        <v>6970645</v>
      </c>
      <c r="G38" s="3">
        <v>2052633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G37-G38</f>
      </c>
      <c r="F39" s="3">
        <f>H37-H38</f>
      </c>
      <c r="G39" s="3">
        <f>I37-I38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