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<sst xmlns="http://schemas.openxmlformats.org/spreadsheetml/2006/main" count="72" uniqueCount="68">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</sst>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13393120</v>
      </c>
      <c r="C2" s="3">
        <v>14281603</v>
      </c>
      <c r="D2" s="3">
        <v>12963164</v>
      </c>
      <c r="E2" s="3">
        <v>11174051</v>
      </c>
      <c r="F2" s="3">
        <v>10452484</v>
      </c>
      <c r="G2" s="3">
        <v>12716884</v>
      </c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6569028</v>
      </c>
      <c r="C3" s="3">
        <v>8007465</v>
      </c>
      <c r="D3" s="3">
        <v>7711709</v>
      </c>
      <c r="E3" s="3">
        <v>6755147</v>
      </c>
      <c r="F3" s="3">
        <v>7090614</v>
      </c>
      <c r="G3" s="3">
        <v>7917814</v>
      </c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1130744</v>
      </c>
      <c r="C5" s="3">
        <v>1450608</v>
      </c>
      <c r="D5" s="3">
        <v>1603177</v>
      </c>
      <c r="E5" s="3">
        <v>1510721</v>
      </c>
      <c r="F5" s="3">
        <v>1245264</v>
      </c>
      <c r="G5" s="3">
        <v>1283321</v>
      </c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4309123</v>
      </c>
      <c r="C6" s="3">
        <v>4297034</v>
      </c>
      <c r="D6" s="3">
        <v>4470612</v>
      </c>
      <c r="E6" s="3">
        <v>5305387</v>
      </c>
      <c r="F6" s="3">
        <v>5225920</v>
      </c>
      <c r="G6" s="3">
        <v>4094289</v>
      </c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511982</v>
      </c>
      <c r="C7" s="3">
        <v>478908</v>
      </c>
      <c r="D7" s="3">
        <v>420733</v>
      </c>
      <c r="E7" s="3">
        <v>366527</v>
      </c>
      <c r="F7" s="3">
        <v>314249</v>
      </c>
      <c r="G7" s="3">
        <v>414075</v>
      </c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>
        <v>-1485285</v>
      </c>
      <c r="C10" s="3">
        <v>655707</v>
      </c>
      <c r="D10" s="3">
        <v>-285585</v>
      </c>
      <c r="E10" s="3">
        <v>19190</v>
      </c>
      <c r="F10" s="3">
        <v>1140</v>
      </c>
      <c r="G10" s="3">
        <v>-49506</v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>
        <v>0</v>
      </c>
      <c r="C11" s="3">
        <v>0</v>
      </c>
      <c r="D11" s="3">
        <v>0</v>
      </c>
      <c r="E11" s="3">
        <v>0</v>
      </c>
      <c r="F11" s="3">
        <v>0</v>
      </c>
      <c r="G11" s="3">
        <v>15739</v>
      </c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0</v>
      </c>
      <c r="C12" s="3">
        <v>0</v>
      </c>
      <c r="D12" s="3">
        <v>0</v>
      </c>
      <c r="E12" s="3">
        <v>0</v>
      </c>
      <c r="F12" s="3">
        <v>0</v>
      </c>
      <c r="G12" s="3">
        <v>15739</v>
      </c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>
        <f>Z10-Z11+Z12</f>
      </c>
    </row>
    <row r="14" spans="1:25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>
        <f>Z9+Z13-Z14</f>
      </c>
    </row>
    <row r="16" spans="1:25" x14ac:dyDescent="0.25">
      <c r="A16" s="2" t="s">
        <v>15</v>
      </c>
      <c r="B16" s="3">
        <v>16000</v>
      </c>
      <c r="C16" s="3">
        <v>0</v>
      </c>
      <c r="D16" s="3">
        <v>0</v>
      </c>
      <c r="E16" s="3">
        <v>0</v>
      </c>
      <c r="F16" s="3">
        <v>0</v>
      </c>
      <c r="G16" s="3">
        <v>0</v>
      </c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</row>
    <row r="17" spans="1:25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>
        <f>Z15-Z16+Z17-Z18+Z19</f>
      </c>
    </row>
    <row r="21" spans="1:25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5" x14ac:dyDescent="0.25">
      <c r="A22" s="2" t="s">
        <v>20</v>
      </c>
      <c r="B22" s="3">
        <v>511982</v>
      </c>
      <c r="C22" s="3">
        <v>478908</v>
      </c>
      <c r="D22" s="3">
        <v>420733</v>
      </c>
      <c r="E22" s="3">
        <v>366527</v>
      </c>
      <c r="F22" s="3">
        <v>314249</v>
      </c>
      <c r="G22" s="3">
        <v>414075</v>
      </c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</row>
    <row r="23" spans="1:25" x14ac:dyDescent="0.25">
      <c r="A23" s="2" t="s">
        <v>21</v>
      </c>
      <c r="B23" s="3">
        <v>863522</v>
      </c>
      <c r="C23" s="3">
        <v>880622</v>
      </c>
      <c r="D23" s="3">
        <v>612946</v>
      </c>
      <c r="E23" s="3">
        <v>352727</v>
      </c>
      <c r="F23" s="3">
        <v>150453</v>
      </c>
      <c r="G23" s="3">
        <v>159933</v>
      </c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-67597</v>
      </c>
      <c r="C24" s="3">
        <v>-620027</v>
      </c>
      <c r="D24" s="3">
        <v>538156</v>
      </c>
      <c r="E24" s="3">
        <v>899424</v>
      </c>
      <c r="F24" s="3">
        <v>100462</v>
      </c>
      <c r="G24" s="3">
        <v>-867684</v>
      </c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>
        <f>Z20+Z22+Z23+Z24</f>
      </c>
    </row>
    <row r="26" spans="1:25" x14ac:dyDescent="0.25">
      <c r="A26" s="2" t="s">
        <v>24</v>
      </c>
      <c r="B26" s="3">
        <v>203170</v>
      </c>
      <c r="C26" s="3">
        <v>411861</v>
      </c>
      <c r="D26" s="3">
        <v>170413</v>
      </c>
      <c r="E26" s="3">
        <v>78207</v>
      </c>
      <c r="F26" s="3">
        <v>285542</v>
      </c>
      <c r="G26" s="3">
        <v>222163</v>
      </c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>
        <f>Z25-Z26</f>
      </c>
    </row>
    <row r="28" spans="1:25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>
        <f>IF(AND(COUNT(Y27,Z27)=2, Z27&lt;&gt;0, Y2&lt;&gt;0), Z27/Y27-1, " ")</f>
      </c>
    </row>
    <row r="35" spans="1:25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</row>
    <row r="36" spans="1:25" x14ac:dyDescent="0.25">
      <c r="A36" s="2" t="s">
        <v>32</v>
      </c>
      <c r="B36" s="3">
        <v>404426</v>
      </c>
      <c r="C36" s="3">
        <v>514230</v>
      </c>
      <c r="D36" s="3">
        <v>399569</v>
      </c>
      <c r="E36" s="3">
        <v>221700</v>
      </c>
      <c r="F36" s="3">
        <v>330873</v>
      </c>
      <c r="G36" s="3">
        <v>542493</v>
      </c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</row>
    <row r="37" spans="1:25" x14ac:dyDescent="0.25">
      <c r="A37" s="2" t="s">
        <v>33</v>
      </c>
      <c r="B37" s="3">
        <v>9724591</v>
      </c>
      <c r="C37" s="3">
        <v>10658189</v>
      </c>
      <c r="D37" s="3">
        <v>12599445</v>
      </c>
      <c r="E37" s="3">
        <v>11009519</v>
      </c>
      <c r="F37" s="3">
        <v>7824234</v>
      </c>
      <c r="G37" s="3">
        <v>7097181</v>
      </c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4745161</v>
      </c>
      <c r="C38" s="3">
        <v>2180827</v>
      </c>
      <c r="D38" s="3">
        <v>1752155</v>
      </c>
      <c r="E38" s="3">
        <v>2722043</v>
      </c>
      <c r="F38" s="3">
        <v>2976728</v>
      </c>
      <c r="G38" s="3">
        <v>3299863</v>
      </c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2023-12-22T01:45:04Z</cp:lastPrinted>
  <dcterms:created xsi:type="dcterms:W3CDTF">2023-12-22T01:45:04Z</dcterms:created>
  <dcterms:modified xsi:type="dcterms:W3CDTF">2023-12-22T01:45:04Z</dcterms:modified>
</cp:coreProperties>
</file>