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<sst xmlns="http://schemas.openxmlformats.org/spreadsheetml/2006/main" count="74" uniqueCount="71">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</sst>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26" x14ac:dyDescent="0.25">
      <c r="A1" s="1" t="s">
        <v>0</v>
      </c>
      <c r="B1" s="2">
        <v>2009</v>
      </c>
      <c r="C1" s="2">
        <v>2010</v>
      </c>
      <c r="D1" s="2">
        <v>2011</v>
      </c>
      <c r="E1" s="2">
        <v>2012</v>
      </c>
      <c r="F1" s="2">
        <v>2013</v>
      </c>
      <c r="G1" s="2">
        <v>2014</v>
      </c>
      <c r="H1" s="2">
        <v>2015</v>
      </c>
      <c r="I1" s="2">
        <v>2016</v>
      </c>
      <c r="J1" s="2">
        <v>2017</v>
      </c>
      <c r="K1" s="2">
        <v>2018</v>
      </c>
      <c r="L1" s="2">
        <v>2019</v>
      </c>
      <c r="M1" s="2">
        <v>2020</v>
      </c>
      <c r="N1" s="2">
        <v>2021</v>
      </c>
      <c r="O1" s="2">
        <v>2022</v>
      </c>
      <c r="P1" s="2">
        <v>2023</v>
      </c>
      <c r="Q1" s="2">
        <v>2024</v>
      </c>
      <c r="R1" s="2">
        <v>2025</v>
      </c>
      <c r="S1" s="2">
        <v>2026</v>
      </c>
      <c r="T1" s="2">
        <v>2027</v>
      </c>
      <c r="U1" s="2">
        <v>2028</v>
      </c>
      <c r="V1" s="2">
        <v>2029</v>
      </c>
      <c r="W1" s="2">
        <v>2030</v>
      </c>
      <c r="X1" s="2">
        <v>2031</v>
      </c>
      <c r="Y1" s="2">
        <v>2032</v>
      </c>
      <c r="Z1" s="2">
        <v>2033</v>
      </c>
    </row>
    <row r="2" spans="1:26" x14ac:dyDescent="0.25">
      <c r="A2" s="2" t="s">
        <v>1</v>
      </c>
      <c r="B2" s="3">
        <v>246804</v>
      </c>
      <c r="C2" s="3">
        <v>262568</v>
      </c>
      <c r="D2" s="3">
        <v>269305</v>
      </c>
      <c r="E2" s="3">
        <v>288782</v>
      </c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 spans="1:26" x14ac:dyDescent="0.25">
      <c r="A3" s="2" t="s">
        <v>2</v>
      </c>
      <c r="B3" s="3">
        <v>176512</v>
      </c>
      <c r="C3" s="3">
        <v>187482</v>
      </c>
      <c r="D3" s="3">
        <v>195853</v>
      </c>
      <c r="E3" s="3">
        <v>215274</v>
      </c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 s="3">
        <f>Z2-Z3</f>
      </c>
    </row>
    <row r="5" spans="1:26" x14ac:dyDescent="0.25">
      <c r="A5" s="2" t="s">
        <v>4</v>
      </c>
      <c r="B5" s="3">
        <v>0</v>
      </c>
      <c r="C5" s="3">
        <v>0</v>
      </c>
      <c r="D5" s="3">
        <v>0</v>
      </c>
      <c r="E5" s="3">
        <v>0</v>
      </c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 spans="1:26" x14ac:dyDescent="0.25">
      <c r="A6" s="2" t="s">
        <v>5</v>
      </c>
      <c r="B6" s="3">
        <v>49706</v>
      </c>
      <c r="C6" s="3">
        <v>50402</v>
      </c>
      <c r="D6" s="3">
        <v>51099</v>
      </c>
      <c r="E6" s="3">
        <v>54144</v>
      </c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 spans="1:26" x14ac:dyDescent="0.25">
      <c r="A7" s="2" t="s">
        <v>6</v>
      </c>
      <c r="B7" s="3">
        <v>0</v>
      </c>
      <c r="C7" s="3">
        <v>0</v>
      </c>
      <c r="D7" s="3">
        <v>0</v>
      </c>
      <c r="E7" s="3">
        <v>0</v>
      </c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 s="3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 s="3">
        <f>Z4-Z8</f>
      </c>
    </row>
    <row r="10" spans="1:26" x14ac:dyDescent="0.25">
      <c r="A10" s="2" t="s">
        <v>9</v>
      </c>
      <c r="B10" s="3">
        <v>0</v>
      </c>
      <c r="C10" s="3">
        <v>0</v>
      </c>
      <c r="D10" s="3">
        <v>0</v>
      </c>
      <c r="E10" s="3">
        <v>0</v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6" x14ac:dyDescent="0.25">
      <c r="A11" s="2" t="s">
        <v>10</v>
      </c>
      <c r="B11" s="3">
        <v>15050</v>
      </c>
      <c r="C11" s="3">
        <v>20091</v>
      </c>
      <c r="D11" s="3">
        <v>23549</v>
      </c>
      <c r="E11" s="3">
        <v>25819</v>
      </c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 spans="1:26" x14ac:dyDescent="0.25">
      <c r="A12" s="2" t="s">
        <v>11</v>
      </c>
      <c r="B12" s="3">
        <v>-15050</v>
      </c>
      <c r="C12" s="3">
        <v>-20091</v>
      </c>
      <c r="D12" s="3">
        <v>-23549</v>
      </c>
      <c r="E12" s="3">
        <v>-25819</v>
      </c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 spans="1:26" x14ac:dyDescent="0.25">
      <c r="A13" s="2" t="s">
        <v>12</v>
      </c>
      <c r="B13" s="3">
        <v>-2931</v>
      </c>
      <c r="C13" s="3">
        <v>-1402</v>
      </c>
      <c r="D13" s="3">
        <v>-2535</v>
      </c>
      <c r="E13" s="3">
        <v>-3104</v>
      </c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 s="3">
        <f>S12+S13</f>
      </c>
      <c r="T14" s="3">
        <f>T12+T13</f>
      </c>
      <c r="U14" s="3">
        <f>U12+U13</f>
      </c>
      <c r="V14" s="3">
        <f>V12+V13</f>
      </c>
      <c r="W14" s="3">
        <f>W12+W13</f>
      </c>
      <c r="X14" s="3">
        <f>X12+X13</f>
      </c>
      <c r="Y14" s="3">
        <f>Y12+Y13</f>
      </c>
      <c r="Z14" s="3">
        <f>Z12+Z13</f>
      </c>
    </row>
    <row r="15" spans="1:26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 s="3">
        <f>S9+S14-S15</f>
      </c>
      <c r="T16" s="3">
        <f>T9+T14-T15</f>
      </c>
      <c r="U16" s="3">
        <f>U9+U14-U15</f>
      </c>
      <c r="V16" s="3">
        <f>V9+V14-V15</f>
      </c>
      <c r="W16" s="3">
        <f>W9+W14-W15</f>
      </c>
      <c r="X16" s="3">
        <f>X9+X14-X15</f>
      </c>
      <c r="Y16" s="3">
        <f>Y9+Y14-Y15</f>
      </c>
      <c r="Z16" s="3">
        <f>Z9+Z14-Z15</f>
      </c>
    </row>
    <row r="17" spans="1:26" x14ac:dyDescent="0.25">
      <c r="A17" s="2" t="s">
        <v>16</v>
      </c>
      <c r="B17" s="3">
        <v>0</v>
      </c>
      <c r="C17" s="3">
        <v>0</v>
      </c>
      <c r="D17" s="3">
        <v>0</v>
      </c>
      <c r="E17" s="3">
        <v>0</v>
      </c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 spans="1:26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 spans="1:26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 spans="1:26" x14ac:dyDescent="0.25">
      <c r="A20" s="2" t="s">
        <v>19</v>
      </c>
      <c r="B20" s="3">
        <v>0</v>
      </c>
      <c r="C20" s="3">
        <v>0</v>
      </c>
      <c r="D20" s="3">
        <v>0</v>
      </c>
      <c r="E20" s="3">
        <v>0</v>
      </c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 spans="1:26" x14ac:dyDescent="0.25">
      <c r="A21" s="2" t="s">
        <v>20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 s="3">
        <f>S16-S17+S18-S19+S20+S21</f>
      </c>
      <c r="T22" s="3">
        <f>T16-T17+T18-T19+T20+T21</f>
      </c>
      <c r="U22" s="3">
        <f>U16-U17+U18-U19+U20+U21</f>
      </c>
      <c r="V22" s="3">
        <f>V16-V17+V18-V19+V20+V21</f>
      </c>
      <c r="W22" s="3">
        <f>W16-W17+W18-W19+W20+W21</f>
      </c>
      <c r="X22" s="3">
        <f>X16-X17+X18-X19+X20+X21</f>
      </c>
      <c r="Y22" s="3">
        <f>Y16-Y17+Y18-Y19+Y20+Y21</f>
      </c>
      <c r="Z22" s="3">
        <f>Z16-Z17+Z18-Z19+Z20+Z21</f>
      </c>
    </row>
    <row r="23" spans="1:26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 spans="1:26" x14ac:dyDescent="0.25">
      <c r="A24" s="2" t="s">
        <v>22</v>
      </c>
      <c r="B24" s="3">
        <v>5794</v>
      </c>
      <c r="C24" s="3">
        <v>5720</v>
      </c>
      <c r="D24" s="3">
        <v>4935</v>
      </c>
      <c r="E24" s="3">
        <v>4723</v>
      </c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 spans="1:26" x14ac:dyDescent="0.25">
      <c r="A25" s="2" t="s">
        <v>23</v>
      </c>
      <c r="B25" s="3">
        <v>0</v>
      </c>
      <c r="C25" s="3">
        <v>181</v>
      </c>
      <c r="D25" s="3">
        <v>183</v>
      </c>
      <c r="E25" s="3">
        <v>187</v>
      </c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 spans="1:26" x14ac:dyDescent="0.25">
      <c r="A26" s="2" t="s">
        <v>24</v>
      </c>
      <c r="B26" s="3">
        <v>16402</v>
      </c>
      <c r="C26" s="3">
        <v>11098</v>
      </c>
      <c r="D26" s="3">
        <v>5356</v>
      </c>
      <c r="E26" s="3">
        <v>10855</v>
      </c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 s="3">
        <f>S22+S24+S25+S26</f>
      </c>
      <c r="T27" s="3">
        <f>T22+T24+T25+T26</f>
      </c>
      <c r="U27" s="3">
        <f>U22+U24+U25+U26</f>
      </c>
      <c r="V27" s="3">
        <f>V22+V24+V25+V26</f>
      </c>
      <c r="W27" s="3">
        <f>W22+W24+W25+W26</f>
      </c>
      <c r="X27" s="3">
        <f>X22+X24+X25+X26</f>
      </c>
      <c r="Y27" s="3">
        <f>Y22+Y24+Y25+Y26</f>
      </c>
      <c r="Z27" s="3">
        <f>Z22+Z24+Z25+Z26</f>
      </c>
    </row>
    <row r="28" spans="1:26" x14ac:dyDescent="0.25">
      <c r="A28" s="2" t="s">
        <v>26</v>
      </c>
      <c r="B28" s="3">
        <v>2034</v>
      </c>
      <c r="C28" s="3">
        <v>2705</v>
      </c>
      <c r="D28" s="3">
        <v>2586</v>
      </c>
      <c r="E28" s="3">
        <v>3135</v>
      </c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 s="3">
        <f>S27-S28</f>
      </c>
      <c r="T29" s="3">
        <f>T27-T28</f>
      </c>
      <c r="U29" s="3">
        <f>U27-U28</f>
      </c>
      <c r="V29" s="3">
        <f>V27-V28</f>
      </c>
      <c r="W29" s="3">
        <f>W27-W28</f>
      </c>
      <c r="X29" s="3">
        <f>X27-X28</f>
      </c>
      <c r="Y29" s="3">
        <f>Y27-Y28</f>
      </c>
      <c r="Z29" s="3">
        <f>Z27-Z28</f>
      </c>
    </row>
    <row r="30" spans="1:26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 s="4">
        <f>IF(AND(COUNT(R2,S2)=2, S2&lt;&gt;0, R2&lt;&gt;0), S2/R2-1, " ")</f>
      </c>
      <c r="T31" s="4">
        <f>IF(AND(COUNT(S2,T2)=2, T2&lt;&gt;0, S2&lt;&gt;0), T2/S2-1, " ")</f>
      </c>
      <c r="U31" s="4">
        <f>IF(AND(COUNT(T2,U2)=2, U2&lt;&gt;0, T2&lt;&gt;0), U2/T2-1, " ")</f>
      </c>
      <c r="V31" s="4">
        <f>IF(AND(COUNT(U2,V2)=2, V2&lt;&gt;0, U2&lt;&gt;0), V2/U2-1, " ")</f>
      </c>
      <c r="W31" s="4">
        <f>IF(AND(COUNT(V2,W2)=2, W2&lt;&gt;0, V2&lt;&gt;0), W2/V2-1, " ")</f>
      </c>
      <c r="X31" s="4">
        <f>IF(AND(COUNT(W2,X2)=2, X2&lt;&gt;0, W2&lt;&gt;0), X2/W2-1, " ")</f>
      </c>
      <c r="Y31" s="4">
        <f>IF(AND(COUNT(X2,Y2)=2, Y2&lt;&gt;0, X2&lt;&gt;0), Y2/X2-1, " ")</f>
      </c>
      <c r="Z31" s="4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 s="4">
        <f>IF(AND(COUNT(S2,S4)=2, S2&lt;&gt;0), S4/S2, " ")</f>
      </c>
      <c r="T32" s="4">
        <f>IF(AND(COUNT(T2,T4)=2, T2&lt;&gt;0), T4/T2, " ")</f>
      </c>
      <c r="U32" s="4">
        <f>IF(AND(COUNT(U2,U4)=2, U2&lt;&gt;0), U4/U2, " ")</f>
      </c>
      <c r="V32" s="4">
        <f>IF(AND(COUNT(V2,V4)=2, V2&lt;&gt;0), V4/V2, " ")</f>
      </c>
      <c r="W32" s="4">
        <f>IF(AND(COUNT(W2,W4)=2, W2&lt;&gt;0), W4/W2, " ")</f>
      </c>
      <c r="X32" s="4">
        <f>IF(AND(COUNT(X2,X4)=2, X2&lt;&gt;0), X4/X2, " ")</f>
      </c>
      <c r="Y32" s="4">
        <f>IF(AND(COUNT(Y2,Y4)=2, Y2&lt;&gt;0), Y4/Y2, " ")</f>
      </c>
      <c r="Z32" s="4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 s="4">
        <f>IF(AND(COUNT(S2,S9)=2, S2&lt;&gt;0), S9/S2, " ")</f>
      </c>
      <c r="T33" s="4">
        <f>IF(AND(COUNT(T2,T9)=2, T2&lt;&gt;0), T9/T2, " ")</f>
      </c>
      <c r="U33" s="4">
        <f>IF(AND(COUNT(U2,U9)=2, U2&lt;&gt;0), U9/U2, " ")</f>
      </c>
      <c r="V33" s="4">
        <f>IF(AND(COUNT(V2,V9)=2, V2&lt;&gt;0), V9/V2, " ")</f>
      </c>
      <c r="W33" s="4">
        <f>IF(AND(COUNT(W2,W9)=2, W2&lt;&gt;0), W9/W2, " ")</f>
      </c>
      <c r="X33" s="4">
        <f>IF(AND(COUNT(X2,X9)=2, X2&lt;&gt;0), X9/X2, " ")</f>
      </c>
      <c r="Y33" s="4">
        <f>IF(AND(COUNT(Y2,Y9)=2, Y2&lt;&gt;0), Y9/Y2, " ")</f>
      </c>
      <c r="Z33" s="4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 s="4">
        <f>IF(AND(COUNT(S15,S15)=2, S15&lt;&gt;0), S16/S15, " ")</f>
      </c>
      <c r="T34" s="4">
        <f>IF(AND(COUNT(T15,T15)=2, T15&lt;&gt;0), T16/T15, " ")</f>
      </c>
      <c r="U34" s="4">
        <f>IF(AND(COUNT(U15,U15)=2, U15&lt;&gt;0), U16/U15, " ")</f>
      </c>
      <c r="V34" s="4">
        <f>IF(AND(COUNT(V15,V15)=2, V15&lt;&gt;0), V16/V15, " ")</f>
      </c>
      <c r="W34" s="4">
        <f>IF(AND(COUNT(W15,W15)=2, W15&lt;&gt;0), W16/W15, " ")</f>
      </c>
      <c r="X34" s="4">
        <f>IF(AND(COUNT(X15,X15)=2, X15&lt;&gt;0), X16/X15, " ")</f>
      </c>
      <c r="Y34" s="4">
        <f>IF(AND(COUNT(Y15,Y15)=2, Y15&lt;&gt;0), Y16/Y15, " ")</f>
      </c>
      <c r="Z34" s="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 s="4">
        <f>IF(AND(COUNT(S22,S2)=2, S2&lt;&gt;0), S22/S2, " ")</f>
      </c>
      <c r="T35" s="4">
        <f>IF(AND(COUNT(T22,T2)=2, T2&lt;&gt;0), T22/T2, " ")</f>
      </c>
      <c r="U35" s="4">
        <f>IF(AND(COUNT(U22,U2)=2, U2&lt;&gt;0), U22/U2, " ")</f>
      </c>
      <c r="V35" s="4">
        <f>IF(AND(COUNT(V22,V2)=2, V2&lt;&gt;0), V22/V2, " ")</f>
      </c>
      <c r="W35" s="4">
        <f>IF(AND(COUNT(W22,W2)=2, W2&lt;&gt;0), W22/W2, " ")</f>
      </c>
      <c r="X35" s="4">
        <f>IF(AND(COUNT(X22,X2)=2, X2&lt;&gt;0), X22/X2, " ")</f>
      </c>
      <c r="Y35" s="4">
        <f>IF(AND(COUNT(Y22,Y2)=2, Y2&lt;&gt;0), Y22/Y2, " ")</f>
      </c>
      <c r="Z35" s="4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 s="4">
        <f>IF(AND(COUNT(R29,S29)=2, S29&lt;&gt;0, R2&lt;&gt;0), S27/R29-1, " ")</f>
      </c>
      <c r="T36" s="4">
        <f>IF(AND(COUNT(S29,T29)=2, T29&lt;&gt;0, S2&lt;&gt;0), T27/S29-1, " ")</f>
      </c>
      <c r="U36" s="4">
        <f>IF(AND(COUNT(T29,U29)=2, U29&lt;&gt;0, T2&lt;&gt;0), U27/T29-1, " ")</f>
      </c>
      <c r="V36" s="4">
        <f>IF(AND(COUNT(U29,V29)=2, V29&lt;&gt;0, U2&lt;&gt;0), V27/U29-1, " ")</f>
      </c>
      <c r="W36" s="4">
        <f>IF(AND(COUNT(V29,W29)=2, W29&lt;&gt;0, V2&lt;&gt;0), W27/V29-1, " ")</f>
      </c>
      <c r="X36" s="4">
        <f>IF(AND(COUNT(W29,X29)=2, X29&lt;&gt;0, W2&lt;&gt;0), X27/W29-1, " ")</f>
      </c>
      <c r="Y36" s="4">
        <f>IF(AND(COUNT(X29,Y29)=2, Y29&lt;&gt;0, X2&lt;&gt;0), Y27/X29-1, " ")</f>
      </c>
      <c r="Z36" s="4">
        <f>IF(AND(COUNT(Y29,Z29)=2, Z29&lt;&gt;0, Y2&lt;&gt;0), Z27/Y29-1, " ")</f>
      </c>
    </row>
    <row r="37" spans="1:26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 spans="1:26" x14ac:dyDescent="0.25">
      <c r="A38" s="2" t="s">
        <v>34</v>
      </c>
      <c r="B38" s="3">
        <v>0</v>
      </c>
      <c r="C38" s="3">
        <v>30199</v>
      </c>
      <c r="D38" s="3">
        <v>27434</v>
      </c>
      <c r="E38" s="3">
        <v>25961</v>
      </c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 spans="1:26" x14ac:dyDescent="0.25">
      <c r="A39" s="2" t="s">
        <v>35</v>
      </c>
      <c r="B39" s="3">
        <v>0</v>
      </c>
      <c r="C39" s="3">
        <v>266391</v>
      </c>
      <c r="D39" s="3">
        <v>263670</v>
      </c>
      <c r="E39" s="3">
        <v>256143</v>
      </c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 spans="1:26" x14ac:dyDescent="0.25">
      <c r="A40" s="2" t="s">
        <v>36</v>
      </c>
      <c r="B40" s="3">
        <v>0</v>
      </c>
      <c r="C40" s="3">
        <v>266391</v>
      </c>
      <c r="D40" s="3">
        <v>263670</v>
      </c>
      <c r="E40" s="3">
        <v>256143</v>
      </c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 spans="1:26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>
        <f>E39-E40</f>
      </c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38</v>
      </c>
    </row>
    <row r="3" spans="1:3" x14ac:dyDescent="0.25">
      <c r="A3" t="s">
        <v>39</v>
      </c>
      <c r="B3">
        <f>MATCH("Free Cash Flow to Firm", Financials!A:A, 0)</f>
      </c>
      <c r="C3" t="s">
        <v>40</v>
      </c>
    </row>
    <row r="4" spans="1:2" x14ac:dyDescent="0.25">
      <c r="A4" t="s">
        <v>41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42</v>
      </c>
      <c r="B6" s="4"/>
      <c r="C6" t="s">
        <v>43</v>
      </c>
    </row>
    <row r="7" spans="1:3" x14ac:dyDescent="0.25">
      <c r="A7" s="2" t="s">
        <v>44</v>
      </c>
      <c r="B7" s="4"/>
      <c r="C7" t="s">
        <v>45</v>
      </c>
    </row>
    <row r="8" spans="1:4" x14ac:dyDescent="0.25">
      <c r="A8" s="2" t="s">
        <v>46</v>
      </c>
      <c r="C8" t="s">
        <v>47</v>
      </c>
      <c r="D8" t="s">
        <v>48</v>
      </c>
    </row>
    <row r="9" spans="1:4" x14ac:dyDescent="0.25">
      <c r="A9" s="2" t="s">
        <v>49</v>
      </c>
      <c r="B9" s="4"/>
      <c r="C9" t="s">
        <v>50</v>
      </c>
      <c r="D9" t="s">
        <v>51</v>
      </c>
    </row>
    <row r="10" spans="1:4" x14ac:dyDescent="0.25">
      <c r="A10" s="2" t="s">
        <v>52</v>
      </c>
      <c r="B10" s="4"/>
      <c r="C10" t="s">
        <v>53</v>
      </c>
      <c r="D10" t="s">
        <v>54</v>
      </c>
    </row>
    <row r="11" spans="1:2" x14ac:dyDescent="0.25">
      <c r="A11" s="2" t="s">
        <v>55</v>
      </c>
      <c r="B11" s="4">
        <f>B10+B9*B8</f>
      </c>
    </row>
    <row r="12" spans="1:3" x14ac:dyDescent="0.25">
      <c r="A12" s="2" t="s">
        <v>56</v>
      </c>
      <c r="B12" s="4"/>
      <c r="C12" t="s">
        <v>57</v>
      </c>
    </row>
    <row r="13" spans="1:4" x14ac:dyDescent="0.25">
      <c r="A13" s="2" t="s">
        <v>58</v>
      </c>
      <c r="B13" s="3"/>
      <c r="C13" t="s">
        <v>59</v>
      </c>
      <c r="D13" t="s">
        <v>48</v>
      </c>
    </row>
    <row r="14" spans="1:3" x14ac:dyDescent="0.25">
      <c r="A14" s="2" t="s">
        <v>60</v>
      </c>
      <c r="B14" s="3"/>
      <c r="C14" t="s">
        <v>61</v>
      </c>
    </row>
    <row r="15" spans="1:2" x14ac:dyDescent="0.25">
      <c r="A15" t="s">
        <v>62</v>
      </c>
      <c r="B15" s="4">
        <f>IF(B13+B14&lt;&gt;0,((B13/(B13+B14))*B11)+((B14/(B13+B14))*B12*B7), 0)</f>
      </c>
    </row>
    <row r="16" spans="1:2" x14ac:dyDescent="0.25">
      <c r="A16" t="s">
        <v>63</v>
      </c>
      <c r="B16" s="4">
        <f>IF(B4-NOW()&gt;=0, MIN(YEARFRAC(NOW(),B4),1), 0)</f>
      </c>
    </row>
    <row r="17" spans="1:2" x14ac:dyDescent="0.25">
      <c r="A17" t="s">
        <v>64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65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66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67</v>
      </c>
      <c r="B20" s="3"/>
      <c r="C20" t="s">
        <v>68</v>
      </c>
    </row>
    <row r="21" spans="1:4" x14ac:dyDescent="0.25">
      <c r="A21" s="2" t="s">
        <v>69</v>
      </c>
      <c r="B21" s="3"/>
      <c r="C21" t="s">
        <v>59</v>
      </c>
      <c r="D21" t="s">
        <v>48</v>
      </c>
    </row>
    <row r="22" spans="1:2" x14ac:dyDescent="0.25">
      <c r="A22" t="s">
        <v>70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2023-12-24T00:45:35Z</cp:lastPrinted>
  <dcterms:created xsi:type="dcterms:W3CDTF">2023-12-24T00:45:35Z</dcterms:created>
  <dcterms:modified xsi:type="dcterms:W3CDTF">2023-12-24T00:45:35Z</dcterms:modified>
</cp:coreProperties>
</file>