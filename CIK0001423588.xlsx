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<sst xmlns="http://schemas.openxmlformats.org/spreadsheetml/2006/main" count="74" uniqueCount="70">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</sst>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0</v>
      </c>
      <c r="C2" s="3">
        <v>20000</v>
      </c>
      <c r="D2" s="3">
        <v>20000</v>
      </c>
      <c r="E2" s="3">
        <v>20000</v>
      </c>
      <c r="F2" s="3">
        <v>20000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27041</v>
      </c>
      <c r="C6" s="3">
        <v>49264</v>
      </c>
      <c r="D6" s="3">
        <v>61288</v>
      </c>
      <c r="E6" s="3">
        <v>78043</v>
      </c>
      <c r="F6" s="3">
        <v>95305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>
        <v>0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/>
      <c r="C10" s="3"/>
      <c r="D10" s="3"/>
      <c r="E10" s="3"/>
      <c r="F10" s="3"/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0</v>
      </c>
      <c r="C12" s="3">
        <v>0</v>
      </c>
      <c r="D12" s="3">
        <v>0</v>
      </c>
      <c r="E12" s="3">
        <v>0</v>
      </c>
      <c r="F12" s="3">
        <v>0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 x14ac:dyDescent="0.25">
      <c r="A13" s="2" t="s">
        <v>12</v>
      </c>
      <c r="B13" s="3">
        <v>0</v>
      </c>
      <c r="C13" s="3">
        <v>0</v>
      </c>
      <c r="D13" s="3">
        <v>0</v>
      </c>
      <c r="E13" s="3">
        <v>0</v>
      </c>
      <c r="F13" s="3">
        <v>0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>
        <f>Z12+Z13</f>
      </c>
    </row>
    <row r="15" spans="1:2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>
        <f>Z9+Z14-Z15</f>
      </c>
    </row>
    <row r="17" spans="1:25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5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</row>
    <row r="21" spans="1:25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>
        <f>Z16-Z17+Z18-Z19+Z20+Z21</f>
      </c>
    </row>
    <row r="23" spans="1:2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0</v>
      </c>
      <c r="C24" s="3">
        <v>0</v>
      </c>
      <c r="D24" s="3">
        <v>0</v>
      </c>
      <c r="E24" s="3">
        <v>0</v>
      </c>
      <c r="F24" s="3">
        <v>0</v>
      </c>
      <c r="G24" s="3">
        <v>0</v>
      </c>
      <c r="H24" s="3">
        <v>0</v>
      </c>
      <c r="I24" s="3">
        <v>0</v>
      </c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5" x14ac:dyDescent="0.25">
      <c r="A25" s="2" t="s">
        <v>23</v>
      </c>
      <c r="B25" s="3">
        <v>0</v>
      </c>
      <c r="C25" s="3">
        <v>0</v>
      </c>
      <c r="D25" s="3">
        <v>0</v>
      </c>
      <c r="E25" s="3">
        <v>0</v>
      </c>
      <c r="F25" s="3">
        <v>0</v>
      </c>
      <c r="G25" s="3">
        <v>0</v>
      </c>
      <c r="H25" s="3">
        <v>0</v>
      </c>
      <c r="I25" s="3">
        <v>0</v>
      </c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</row>
    <row r="26" spans="1:25" x14ac:dyDescent="0.25">
      <c r="A26" s="2" t="s">
        <v>24</v>
      </c>
      <c r="B26" s="3">
        <v>-1300</v>
      </c>
      <c r="C26" s="3">
        <v>-12361</v>
      </c>
      <c r="D26" s="3">
        <v>6568</v>
      </c>
      <c r="E26" s="3">
        <v>4900</v>
      </c>
      <c r="F26" s="3">
        <v>4810</v>
      </c>
      <c r="G26" s="3">
        <v>2960</v>
      </c>
      <c r="H26" s="3">
        <v>7732</v>
      </c>
      <c r="I26" s="3">
        <v>-5928</v>
      </c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>
        <f>Z22+Z24+Z25+Z26</f>
      </c>
    </row>
    <row r="28" spans="1:25" x14ac:dyDescent="0.25">
      <c r="A28" s="2" t="s">
        <v>26</v>
      </c>
      <c r="B28" s="3">
        <v>0</v>
      </c>
      <c r="C28" s="3">
        <v>0</v>
      </c>
      <c r="D28" s="3">
        <v>0</v>
      </c>
      <c r="E28" s="3">
        <v>0</v>
      </c>
      <c r="F28" s="3">
        <v>0</v>
      </c>
      <c r="G28" s="3">
        <v>0</v>
      </c>
      <c r="H28" s="3">
        <v>0</v>
      </c>
      <c r="I28" s="3">
        <v>0</v>
      </c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>
        <f>Z27-Z28</f>
      </c>
    </row>
    <row r="30" spans="1:2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>
        <f>IF(AND(COUNT(Y29,Z29)=2, Z29&lt;&gt;0, Y2&lt;&gt;0), Z27/Y29-1, " ")</f>
      </c>
    </row>
    <row r="37" spans="1:2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0</v>
      </c>
      <c r="C38" s="3">
        <v>0</v>
      </c>
      <c r="D38" s="3">
        <v>0</v>
      </c>
      <c r="E38" s="3">
        <v>0</v>
      </c>
      <c r="F38" s="3">
        <v>0</v>
      </c>
      <c r="G38" s="3">
        <v>0</v>
      </c>
      <c r="H38" s="3">
        <v>0</v>
      </c>
      <c r="I38" s="3">
        <v>0</v>
      </c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v>0</v>
      </c>
      <c r="C39" s="3">
        <v>20000</v>
      </c>
      <c r="D39" s="3">
        <v>120814</v>
      </c>
      <c r="E39" s="3">
        <v>72341</v>
      </c>
      <c r="F39" s="3">
        <v>54989</v>
      </c>
      <c r="G39" s="3">
        <v>37143</v>
      </c>
      <c r="H39" s="3">
        <v>30707</v>
      </c>
      <c r="I39" s="3">
        <v>8722</v>
      </c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  <row r="40" spans="1:25" x14ac:dyDescent="0.25">
      <c r="A40" s="2" t="s">
        <v>36</v>
      </c>
      <c r="B40" s="3">
        <v>35806</v>
      </c>
      <c r="C40" s="3">
        <v>45744</v>
      </c>
      <c r="D40" s="3">
        <v>38582</v>
      </c>
      <c r="E40" s="3">
        <v>6864</v>
      </c>
      <c r="F40" s="3">
        <v>6774</v>
      </c>
      <c r="G40" s="3">
        <v>9734</v>
      </c>
      <c r="H40" s="3">
        <v>27217</v>
      </c>
      <c r="I40" s="3">
        <v>21289</v>
      </c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</row>
    <row r="41" spans="1:25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>
        <f>I39-I40</f>
      </c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2023-12-24T00:46:27Z</cp:lastPrinted>
  <dcterms:created xsi:type="dcterms:W3CDTF">2023-12-24T00:46:27Z</dcterms:created>
  <dcterms:modified xsi:type="dcterms:W3CDTF">2023-12-24T00:46:27Z</dcterms:modified>
</cp:coreProperties>
</file>