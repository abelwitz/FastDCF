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<sst xmlns="http://schemas.openxmlformats.org/spreadsheetml/2006/main" count="72" uniqueCount="68">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</sst>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5" x14ac:dyDescent="0.25">
      <c r="A1" s="1" t="s">
        <v>0</v>
      </c>
      <c r="B1" s="2">
        <v>2010</v>
      </c>
      <c r="C1" s="2">
        <v>2011</v>
      </c>
      <c r="D1" s="2">
        <v>2012</v>
      </c>
      <c r="E1" s="2">
        <v>2013</v>
      </c>
      <c r="F1" s="2">
        <v>2014</v>
      </c>
      <c r="G1" s="2">
        <v>2015</v>
      </c>
      <c r="H1" s="2">
        <v>2016</v>
      </c>
      <c r="I1" s="2">
        <v>2017</v>
      </c>
      <c r="J1" s="2">
        <v>2018</v>
      </c>
      <c r="K1" s="2">
        <v>2019</v>
      </c>
      <c r="L1" s="2">
        <v>2020</v>
      </c>
      <c r="M1" s="2">
        <v>2021</v>
      </c>
      <c r="N1" s="2">
        <v>2022</v>
      </c>
      <c r="O1" s="2">
        <v>2023</v>
      </c>
      <c r="P1" s="2">
        <v>2024</v>
      </c>
      <c r="Q1" s="2">
        <v>2025</v>
      </c>
      <c r="R1" s="2">
        <v>2026</v>
      </c>
      <c r="S1" s="2">
        <v>2027</v>
      </c>
      <c r="T1" s="2">
        <v>2028</v>
      </c>
      <c r="U1" s="2">
        <v>2029</v>
      </c>
      <c r="V1" s="2">
        <v>2030</v>
      </c>
      <c r="W1" s="2">
        <v>2031</v>
      </c>
      <c r="X1" s="2">
        <v>2032</v>
      </c>
      <c r="Y1" s="2">
        <v>2033</v>
      </c>
    </row>
    <row r="2" spans="1:25" x14ac:dyDescent="0.25">
      <c r="A2" s="2" t="s">
        <v>1</v>
      </c>
      <c r="B2" s="3">
        <v>418357</v>
      </c>
      <c r="C2" s="3">
        <v>259245</v>
      </c>
      <c r="D2" s="3">
        <v>71252</v>
      </c>
      <c r="E2" s="3">
        <v>0</v>
      </c>
      <c r="F2" s="3">
        <v>3129</v>
      </c>
      <c r="G2" s="3">
        <v>2529</v>
      </c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</row>
    <row r="3" spans="1:25" x14ac:dyDescent="0.25">
      <c r="A3" s="2" t="s">
        <v>2</v>
      </c>
      <c r="B3" s="3">
        <v>248737</v>
      </c>
      <c r="C3" s="3">
        <v>235339</v>
      </c>
      <c r="D3" s="3">
        <v>7030</v>
      </c>
      <c r="E3" s="3">
        <v>0</v>
      </c>
      <c r="F3" s="3">
        <v>2313</v>
      </c>
      <c r="G3" s="3">
        <v>1136</v>
      </c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>
        <f>Z2-Z3</f>
      </c>
    </row>
    <row r="5" spans="1:25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</row>
    <row r="6" spans="1:25" x14ac:dyDescent="0.25">
      <c r="A6" s="2" t="s">
        <v>5</v>
      </c>
      <c r="B6" s="3">
        <v>1202988</v>
      </c>
      <c r="C6" s="3">
        <v>458514</v>
      </c>
      <c r="D6" s="3">
        <v>110777</v>
      </c>
      <c r="E6" s="3">
        <v>228969</v>
      </c>
      <c r="F6" s="3">
        <v>1826480</v>
      </c>
      <c r="G6" s="3">
        <v>181534</v>
      </c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</row>
    <row r="7" spans="1:25" x14ac:dyDescent="0.25">
      <c r="A7" s="2" t="s">
        <v>6</v>
      </c>
      <c r="B7" s="3">
        <v>0</v>
      </c>
      <c r="C7" s="3">
        <v>167130</v>
      </c>
      <c r="D7" s="3">
        <v>29743</v>
      </c>
      <c r="E7" s="3">
        <v>0</v>
      </c>
      <c r="F7" s="3">
        <v>994996</v>
      </c>
      <c r="G7" s="3">
        <v>127500</v>
      </c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>
        <f>Z4-Z8</f>
      </c>
    </row>
    <row r="10" spans="1:26" x14ac:dyDescent="0.25">
      <c r="A10" s="2" t="s">
        <v>9</v>
      </c>
      <c r="B10" s="3">
        <v>-13739</v>
      </c>
      <c r="C10" s="3">
        <v>-28928</v>
      </c>
      <c r="D10" s="3">
        <v>-30489</v>
      </c>
      <c r="E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F10" s="3">
        <v>0</v>
      </c>
      <c r="G10" s="3">
        <v>0</v>
      </c>
      <c r="H10" s="3">
        <v>0</v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5" x14ac:dyDescent="0.25">
      <c r="A11" s="2" t="s">
        <v>10</v>
      </c>
      <c r="B11" s="3">
        <v>13739</v>
      </c>
      <c r="C11" s="3">
        <v>28928</v>
      </c>
      <c r="D11" s="3">
        <v>30489</v>
      </c>
      <c r="E11" s="3">
        <v>-156588</v>
      </c>
      <c r="F11" s="3">
        <v>62430</v>
      </c>
      <c r="G11" s="3">
        <v>2006900</v>
      </c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</row>
    <row r="12" spans="1:25" x14ac:dyDescent="0.25">
      <c r="A12" s="2" t="s">
        <v>11</v>
      </c>
      <c r="B12" s="3">
        <v>13739</v>
      </c>
      <c r="C12" s="3">
        <v>28928</v>
      </c>
      <c r="D12" s="3">
        <v>30489</v>
      </c>
      <c r="E12" s="3">
        <v>-1238611</v>
      </c>
      <c r="F12" s="3">
        <v>-2189327</v>
      </c>
      <c r="G12" s="3">
        <v>2502112</v>
      </c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>
        <f>Z10-Z11+Z12</f>
      </c>
    </row>
    <row r="14" spans="1:25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>
        <f>Z9+Z13-Z14</f>
      </c>
    </row>
    <row r="16" spans="1:25" x14ac:dyDescent="0.25">
      <c r="A16" s="2" t="s">
        <v>15</v>
      </c>
      <c r="B16" s="3">
        <v>0</v>
      </c>
      <c r="C16" s="3">
        <v>0</v>
      </c>
      <c r="D16" s="3">
        <v>0</v>
      </c>
      <c r="E16" s="3">
        <v>0</v>
      </c>
      <c r="F16" s="3">
        <v>0</v>
      </c>
      <c r="G16" s="3">
        <v>0</v>
      </c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</row>
    <row r="17" spans="1:25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</row>
    <row r="18" spans="1:25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</row>
    <row r="19" spans="1:25" x14ac:dyDescent="0.25">
      <c r="A19" s="2" t="s">
        <v>18</v>
      </c>
      <c r="B19" s="3">
        <v>0</v>
      </c>
      <c r="C19" s="3">
        <v>0</v>
      </c>
      <c r="D19" s="3">
        <v>0</v>
      </c>
      <c r="E19" s="3">
        <v>54100</v>
      </c>
      <c r="F19" s="3">
        <v>0</v>
      </c>
      <c r="G19" s="3">
        <v>0</v>
      </c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>
        <f>Z15-Z16+Z17-Z18+Z19</f>
      </c>
    </row>
    <row r="21" spans="1:25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</row>
    <row r="22" spans="1:25" x14ac:dyDescent="0.25">
      <c r="A22" s="2" t="s">
        <v>20</v>
      </c>
      <c r="B22" s="3">
        <v>0</v>
      </c>
      <c r="C22" s="3">
        <v>0</v>
      </c>
      <c r="D22" s="3">
        <v>0</v>
      </c>
      <c r="E22" s="3">
        <v>0</v>
      </c>
      <c r="F22" s="3">
        <v>0</v>
      </c>
      <c r="G22" s="3">
        <v>0</v>
      </c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</row>
    <row r="23" spans="1:25" x14ac:dyDescent="0.25">
      <c r="A23" s="2" t="s">
        <v>21</v>
      </c>
      <c r="B23" s="3">
        <v>0</v>
      </c>
      <c r="C23" s="3">
        <v>0</v>
      </c>
      <c r="D23" s="3">
        <v>0</v>
      </c>
      <c r="E23" s="3">
        <v>0</v>
      </c>
      <c r="F23" s="3">
        <v>0</v>
      </c>
      <c r="G23" s="3">
        <v>0</v>
      </c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</row>
    <row r="24" spans="1:25" x14ac:dyDescent="0.25">
      <c r="A24" s="2" t="s">
        <v>22</v>
      </c>
      <c r="B24" s="3">
        <v>615689</v>
      </c>
      <c r="C24" s="3">
        <v>479807</v>
      </c>
      <c r="D24" s="3">
        <v>70661</v>
      </c>
      <c r="E24" s="3">
        <v>1246892</v>
      </c>
      <c r="F24" s="3">
        <v>5072417</v>
      </c>
      <c r="G24" s="3">
        <v>-187571</v>
      </c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>
        <f>Z20+Z22+Z23+Z24</f>
      </c>
    </row>
    <row r="26" spans="1:25" x14ac:dyDescent="0.25">
      <c r="A26" s="2" t="s">
        <v>24</v>
      </c>
      <c r="B26" s="3">
        <v>0</v>
      </c>
      <c r="C26" s="3">
        <v>0</v>
      </c>
      <c r="D26" s="3">
        <v>0</v>
      </c>
      <c r="E26" s="3">
        <v>0</v>
      </c>
      <c r="F26" s="3">
        <v>0</v>
      </c>
      <c r="G26" s="3">
        <v>837</v>
      </c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>
        <f>Z25-Z26</f>
      </c>
    </row>
    <row r="28" spans="1:25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>
        <f>IF(AND(COUNT(Y27,Z27)=2, Z27&lt;&gt;0, Y2&lt;&gt;0), Z27/Y27-1, " ")</f>
      </c>
    </row>
    <row r="35" spans="1:25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</row>
    <row r="36" spans="1:25" x14ac:dyDescent="0.25">
      <c r="A36" s="2" t="s">
        <v>32</v>
      </c>
      <c r="B36" s="3">
        <v>0</v>
      </c>
      <c r="C36" s="3">
        <v>0</v>
      </c>
      <c r="D36" s="3">
        <v>0</v>
      </c>
      <c r="E36" s="3">
        <v>0</v>
      </c>
      <c r="F36" s="3">
        <v>0</v>
      </c>
      <c r="G36" s="3">
        <v>0</v>
      </c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</row>
    <row r="37" spans="1:25" x14ac:dyDescent="0.25">
      <c r="A37" s="2" t="s">
        <v>33</v>
      </c>
      <c r="B37" s="3">
        <v>41853</v>
      </c>
      <c r="C37" s="3">
        <v>281269</v>
      </c>
      <c r="D37" s="3">
        <v>0</v>
      </c>
      <c r="E37" s="3">
        <v>0</v>
      </c>
      <c r="F37" s="3">
        <v>0</v>
      </c>
      <c r="G37" s="3">
        <v>0</v>
      </c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</row>
    <row r="38" spans="1:25" x14ac:dyDescent="0.25">
      <c r="A38" s="2" t="s">
        <v>34</v>
      </c>
      <c r="B38" s="3">
        <v>781387</v>
      </c>
      <c r="C38" s="3">
        <v>408137</v>
      </c>
      <c r="D38" s="3">
        <v>523225</v>
      </c>
      <c r="E38" s="3">
        <v>0</v>
      </c>
      <c r="F38" s="3">
        <v>0</v>
      </c>
      <c r="G38" s="3">
        <v>0</v>
      </c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</row>
    <row r="39" spans="1:25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F37-F38</f>
      </c>
      <c r="F39" s="3">
        <f>G37-G38</f>
      </c>
      <c r="G39" s="3">
        <f>H37-H38</f>
      </c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2023-12-22T01:45:05Z</cp:lastPrinted>
  <dcterms:created xsi:type="dcterms:W3CDTF">2023-12-22T01:45:05Z</dcterms:created>
  <dcterms:modified xsi:type="dcterms:W3CDTF">2023-12-22T01:45:05Z</dcterms:modified>
</cp:coreProperties>
</file>