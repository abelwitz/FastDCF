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<sst xmlns="http://schemas.openxmlformats.org/spreadsheetml/2006/main" count="74" uniqueCount="70">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</sst>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5" x14ac:dyDescent="0.25">
      <c r="A1" s="1" t="s">
        <v>0</v>
      </c>
      <c r="B1" s="2">
        <v>2010</v>
      </c>
      <c r="C1" s="2">
        <v>2011</v>
      </c>
      <c r="D1" s="2">
        <v>2012</v>
      </c>
      <c r="E1" s="2">
        <v>2013</v>
      </c>
      <c r="F1" s="2">
        <v>2014</v>
      </c>
      <c r="G1" s="2">
        <v>2015</v>
      </c>
      <c r="H1" s="2">
        <v>2016</v>
      </c>
      <c r="I1" s="2">
        <v>2017</v>
      </c>
      <c r="J1" s="2">
        <v>2018</v>
      </c>
      <c r="K1" s="2">
        <v>2019</v>
      </c>
      <c r="L1" s="2">
        <v>2020</v>
      </c>
      <c r="M1" s="2">
        <v>2021</v>
      </c>
      <c r="N1" s="2">
        <v>2022</v>
      </c>
      <c r="O1" s="2">
        <v>2023</v>
      </c>
      <c r="P1" s="2">
        <v>2024</v>
      </c>
      <c r="Q1" s="2">
        <v>2025</v>
      </c>
      <c r="R1" s="2">
        <v>2026</v>
      </c>
      <c r="S1" s="2">
        <v>2027</v>
      </c>
      <c r="T1" s="2">
        <v>2028</v>
      </c>
      <c r="U1" s="2">
        <v>2029</v>
      </c>
      <c r="V1" s="2">
        <v>2030</v>
      </c>
      <c r="W1" s="2">
        <v>2031</v>
      </c>
      <c r="X1" s="2">
        <v>2032</v>
      </c>
      <c r="Y1" s="2">
        <v>2033</v>
      </c>
    </row>
    <row r="2" spans="1:25" x14ac:dyDescent="0.25">
      <c r="A2" s="2" t="s">
        <v>1</v>
      </c>
      <c r="B2" s="3">
        <v>89867</v>
      </c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x14ac:dyDescent="0.25">
      <c r="A3" s="2" t="s">
        <v>2</v>
      </c>
      <c r="B3" s="3">
        <v>59758</v>
      </c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>
        <f>Z2-Z3</f>
      </c>
    </row>
    <row r="5" spans="1:25" x14ac:dyDescent="0.25">
      <c r="A5" s="2" t="s">
        <v>4</v>
      </c>
      <c r="B5" s="3">
        <v>67514</v>
      </c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25">
      <c r="A6" s="2" t="s">
        <v>5</v>
      </c>
      <c r="B6" s="3">
        <v>3963843</v>
      </c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x14ac:dyDescent="0.25">
      <c r="A7" s="2" t="s">
        <v>6</v>
      </c>
      <c r="B7" s="3">
        <v>0</v>
      </c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>
        <f>Z4-Z8</f>
      </c>
    </row>
    <row r="10" spans="1:26" x14ac:dyDescent="0.25">
      <c r="A10" s="2" t="s">
        <v>9</v>
      </c>
      <c r="B10" s="3"/>
      <c r="C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5" x14ac:dyDescent="0.25">
      <c r="A11" s="2" t="s">
        <v>10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x14ac:dyDescent="0.25">
      <c r="A12" s="2" t="s">
        <v>11</v>
      </c>
      <c r="B12" s="3">
        <v>0</v>
      </c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5" x14ac:dyDescent="0.25">
      <c r="A13" s="2" t="s">
        <v>12</v>
      </c>
      <c r="B13" s="3">
        <v>363895</v>
      </c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>
        <f>Z12+Z13</f>
      </c>
    </row>
    <row r="15" spans="1:25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>
        <f>Z9+Z14-Z15</f>
      </c>
    </row>
    <row r="17" spans="1:25" x14ac:dyDescent="0.25">
      <c r="A17" s="2" t="s">
        <v>16</v>
      </c>
      <c r="B17" s="3">
        <v>0</v>
      </c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 spans="1:25" x14ac:dyDescent="0.25">
      <c r="A18" s="2" t="s">
        <v>17</v>
      </c>
      <c r="B18" s="3">
        <v>0</v>
      </c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 spans="1:25" x14ac:dyDescent="0.25">
      <c r="A19" s="2" t="s">
        <v>18</v>
      </c>
      <c r="B19" s="3">
        <v>0</v>
      </c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 spans="1:25" x14ac:dyDescent="0.25">
      <c r="A20" s="2" t="s">
        <v>19</v>
      </c>
      <c r="B20" s="3">
        <v>0</v>
      </c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</row>
    <row r="21" spans="1:25" x14ac:dyDescent="0.25">
      <c r="A21" s="2" t="s">
        <v>20</v>
      </c>
      <c r="B21" s="3">
        <v>0</v>
      </c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>
        <f>Z16-Z17+Z18-Z19+Z20+Z21</f>
      </c>
    </row>
    <row r="23" spans="1:25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 spans="1:25" x14ac:dyDescent="0.25">
      <c r="A24" s="2" t="s">
        <v>22</v>
      </c>
      <c r="B24" s="3">
        <v>7545</v>
      </c>
      <c r="C24" s="3">
        <v>6946</v>
      </c>
      <c r="D24" s="3">
        <v>2588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 spans="1:25" x14ac:dyDescent="0.25">
      <c r="A25" s="2" t="s">
        <v>23</v>
      </c>
      <c r="B25" s="3">
        <v>0</v>
      </c>
      <c r="C25" s="3">
        <v>0</v>
      </c>
      <c r="D25" s="3">
        <v>0</v>
      </c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</row>
    <row r="26" spans="1:25" x14ac:dyDescent="0.25">
      <c r="A26" s="2" t="s">
        <v>24</v>
      </c>
      <c r="B26" s="3">
        <v>2177298</v>
      </c>
      <c r="C26" s="3">
        <v>618953</v>
      </c>
      <c r="D26" s="3">
        <v>253581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>
        <f>Z22+Z24+Z25+Z26</f>
      </c>
    </row>
    <row r="28" spans="1:25" x14ac:dyDescent="0.25">
      <c r="A28" s="2" t="s">
        <v>26</v>
      </c>
      <c r="B28" s="3">
        <v>22865</v>
      </c>
      <c r="C28" s="3">
        <v>-299349</v>
      </c>
      <c r="D28" s="3">
        <v>0</v>
      </c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>
        <f>Z27-Z28</f>
      </c>
    </row>
    <row r="30" spans="1:25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>
        <f>IF(AND(COUNT(Y29,Z29)=2, Z29&lt;&gt;0, Y2&lt;&gt;0), Z27/Y29-1, " ")</f>
      </c>
    </row>
    <row r="37" spans="1:25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 spans="1:25" x14ac:dyDescent="0.25">
      <c r="A38" s="2" t="s">
        <v>34</v>
      </c>
      <c r="B38" s="3">
        <v>6087</v>
      </c>
      <c r="C38" s="3">
        <v>2900</v>
      </c>
      <c r="D38" s="3">
        <v>1359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 spans="1:25" x14ac:dyDescent="0.25">
      <c r="A39" s="2" t="s">
        <v>35</v>
      </c>
      <c r="B39" s="3">
        <v>328008</v>
      </c>
      <c r="C39" s="3">
        <v>1277786</v>
      </c>
      <c r="D39" s="3">
        <v>49812</v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  <row r="40" spans="1:25" x14ac:dyDescent="0.25">
      <c r="A40" s="2" t="s">
        <v>36</v>
      </c>
      <c r="B40" s="3">
        <v>1955831</v>
      </c>
      <c r="C40" s="3">
        <v>3597797</v>
      </c>
      <c r="D40" s="3">
        <v>4418087</v>
      </c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</row>
    <row r="41" spans="1:25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2023-12-24T10:59:39Z</cp:lastPrinted>
  <dcterms:created xsi:type="dcterms:W3CDTF">2023-12-24T10:59:39Z</dcterms:created>
  <dcterms:modified xsi:type="dcterms:W3CDTF">2023-12-24T10:59:39Z</dcterms:modified>
</cp:coreProperties>
</file>