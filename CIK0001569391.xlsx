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<sst xmlns="http://schemas.openxmlformats.org/spreadsheetml/2006/main" count="74" uniqueCount="71">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</sst>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914317</v>
      </c>
      <c r="C2" s="3">
        <v>548164</v>
      </c>
      <c r="D2" s="3">
        <v>1017149</v>
      </c>
      <c r="E2" s="3">
        <v>1301869</v>
      </c>
      <c r="F2" s="3">
        <v>1586444</v>
      </c>
      <c r="G2" s="3">
        <v>1441893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374544</v>
      </c>
      <c r="C6" s="3">
        <v>283416</v>
      </c>
      <c r="D6" s="3">
        <v>528314</v>
      </c>
      <c r="E6" s="3">
        <v>669312</v>
      </c>
      <c r="F6" s="3">
        <v>635103</v>
      </c>
      <c r="G6" s="3">
        <v>531896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346064</v>
      </c>
      <c r="C7" s="3">
        <v>238726</v>
      </c>
      <c r="D7" s="3">
        <v>429259</v>
      </c>
      <c r="E7" s="3">
        <v>561733</v>
      </c>
      <c r="F7" s="3">
        <v>584045</v>
      </c>
      <c r="G7" s="3">
        <v>526088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1131</v>
      </c>
      <c r="C10" s="3">
        <v>3070</v>
      </c>
      <c r="D10" s="3">
        <v>10187</v>
      </c>
      <c r="E10" s="3">
        <v>14363</v>
      </c>
      <c r="F10" s="3">
        <v>12666</v>
      </c>
      <c r="G10" s="3">
        <v>12519</v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1299</v>
      </c>
      <c r="C11" s="3">
        <v>2665</v>
      </c>
      <c r="D11" s="3">
        <v>44785</v>
      </c>
      <c r="E11" s="3">
        <v>0</v>
      </c>
      <c r="F11" s="3">
        <v>0</v>
      </c>
      <c r="G11" s="3">
        <v>0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-168</v>
      </c>
      <c r="C12" s="3">
        <v>405</v>
      </c>
      <c r="D12" s="3">
        <v>-34598</v>
      </c>
      <c r="E12" s="3">
        <v>14363</v>
      </c>
      <c r="F12" s="3">
        <v>12666</v>
      </c>
      <c r="G12" s="3">
        <v>12519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5">
      <c r="A13" s="2" t="s">
        <v>12</v>
      </c>
      <c r="B13" s="3">
        <v>0</v>
      </c>
      <c r="C13" s="3">
        <v>0</v>
      </c>
      <c r="D13" s="3">
        <v>0</v>
      </c>
      <c r="E13" s="3">
        <v>0</v>
      </c>
      <c r="F13" s="3">
        <v>0</v>
      </c>
      <c r="G13" s="3">
        <v>0</v>
      </c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>
        <f>Y12+Y13</f>
      </c>
      <c r="Z14">
        <f>Z12+Z13</f>
      </c>
    </row>
    <row r="15" spans="1:2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>
        <f>Y9+Y14-Y15</f>
      </c>
      <c r="Z16">
        <f>Z9+Z14-Z15</f>
      </c>
    </row>
    <row r="17" spans="1:24" x14ac:dyDescent="0.25">
      <c r="A17" s="2" t="s">
        <v>16</v>
      </c>
      <c r="B17" s="3">
        <v>30841</v>
      </c>
      <c r="C17" s="3">
        <v>10276</v>
      </c>
      <c r="D17" s="3">
        <v>-101114</v>
      </c>
      <c r="E17" s="3">
        <v>22753</v>
      </c>
      <c r="F17" s="3">
        <v>130858</v>
      </c>
      <c r="G17" s="3">
        <v>140731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>
        <v>80</v>
      </c>
      <c r="E18" s="3">
        <v>-1332</v>
      </c>
      <c r="F18" s="3">
        <v>0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>
        <f>Y16-Y17+Y18-Y19+Y20+Y21</f>
      </c>
      <c r="Z22">
        <f>Z16-Z17+Z18-Z19+Z20+Z21</f>
      </c>
    </row>
    <row r="23" spans="1:2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45675</v>
      </c>
      <c r="C24" s="3">
        <v>34938</v>
      </c>
      <c r="D24" s="3">
        <v>55570</v>
      </c>
      <c r="E24" s="3">
        <v>81448</v>
      </c>
      <c r="F24" s="3">
        <v>90231</v>
      </c>
      <c r="G24" s="3">
        <v>88790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5">
      <c r="A25" s="2" t="s">
        <v>23</v>
      </c>
      <c r="B25" s="3">
        <v>43044</v>
      </c>
      <c r="C25" s="3">
        <v>12320</v>
      </c>
      <c r="D25" s="3">
        <v>64286</v>
      </c>
      <c r="E25" s="3">
        <v>58940</v>
      </c>
      <c r="F25" s="3">
        <v>84663</v>
      </c>
      <c r="G25" s="3">
        <v>20459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5">
      <c r="A26" s="2" t="s">
        <v>24</v>
      </c>
      <c r="B26" s="3">
        <v>-41137</v>
      </c>
      <c r="C26" s="3">
        <v>-127925</v>
      </c>
      <c r="D26" s="3">
        <v>-104824</v>
      </c>
      <c r="E26" s="3">
        <v>41034</v>
      </c>
      <c r="F26" s="3">
        <v>-411014</v>
      </c>
      <c r="G26" s="3">
        <v>-245394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>
        <f>Y22+Y24+Y25+Y26</f>
      </c>
      <c r="Z27">
        <f>Z22+Z24+Z25+Z26</f>
      </c>
    </row>
    <row r="28" spans="1:24" x14ac:dyDescent="0.25">
      <c r="A28" s="2" t="s">
        <v>26</v>
      </c>
      <c r="B28" s="3">
        <v>62790</v>
      </c>
      <c r="C28" s="3">
        <v>31389</v>
      </c>
      <c r="D28" s="3">
        <v>25147</v>
      </c>
      <c r="E28" s="3">
        <v>34139</v>
      </c>
      <c r="F28" s="3">
        <v>34581</v>
      </c>
      <c r="G28" s="3">
        <v>102130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>
        <f>Y27-Y28</f>
      </c>
      <c r="Z29">
        <f>Z27-Z28</f>
      </c>
    </row>
    <row r="30" spans="1:2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0</v>
      </c>
      <c r="C38" s="3">
        <v>83341</v>
      </c>
      <c r="D38" s="3">
        <v>146668</v>
      </c>
      <c r="E38" s="3">
        <v>134051</v>
      </c>
      <c r="F38" s="3">
        <v>94858</v>
      </c>
      <c r="G38" s="3">
        <v>151645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v>0</v>
      </c>
      <c r="C39" s="3">
        <v>1687536</v>
      </c>
      <c r="D39" s="3">
        <v>6997004</v>
      </c>
      <c r="E39" s="3">
        <v>6821375</v>
      </c>
      <c r="F39" s="3">
        <v>6040535</v>
      </c>
      <c r="G39" s="3">
        <v>6261287</v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  <row r="40" spans="1:24" x14ac:dyDescent="0.25">
      <c r="A40" s="2" t="s">
        <v>36</v>
      </c>
      <c r="B40" s="3">
        <v>-622996</v>
      </c>
      <c r="C40" s="3">
        <v>1032864</v>
      </c>
      <c r="D40" s="3">
        <v>5487467</v>
      </c>
      <c r="E40" s="3">
        <v>5298798</v>
      </c>
      <c r="F40" s="3">
        <v>4596437</v>
      </c>
      <c r="G40" s="3">
        <v>4904004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</row>
    <row r="41" spans="1:24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2023-12-24T11:02:14Z</cp:lastPrinted>
  <dcterms:created xsi:type="dcterms:W3CDTF">2023-12-24T11:02:14Z</dcterms:created>
  <dcterms:modified xsi:type="dcterms:W3CDTF">2023-12-24T11:02:14Z</dcterms:modified>
</cp:coreProperties>
</file>