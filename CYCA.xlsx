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<sst xmlns="http://schemas.openxmlformats.org/spreadsheetml/2006/main" count="72" uniqueCount="68">
  <si>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</si>
  <si>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</si>
  <si>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</si>
  <si>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</si>
  <si>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</si>
  <si>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</si>
  <si>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</si>
  <si>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</si>
  <si>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</si>
  <si>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</si>
  <si>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</si>
  <si>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</si>
  <si>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</si>
  <si>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</si>
  <si>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</si>
  <si>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</si>
  <si>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</si>
  <si>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</si>
  <si>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</si>
  <si>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</si>
  <si>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</si>
  <si>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</si>
  <si>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</si>
  <si>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</si>
  <si>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</si>
  <si>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</si>
  <si>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</si>
  <si>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</si>
  <si>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</si>
  <si>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</si>
  <si>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</si>
  <si>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</si>
  <si>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</si>
  <si>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</si>
  <si>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</si>
  <si>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</si>
  <si>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</si>
  <si>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</si>
  <si>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</si>
  <si>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</si>
  <si>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</si>
  <si>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</si>
  <si>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</si>
  <si>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</si>
  <si>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</si>
  <si>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https://finance.yahoo.com/quote/CYCA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</si>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</sst>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C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CA" TargetMode="External"/><Relationship Id="rId5" Type="http://schemas.openxmlformats.org/officeDocument/2006/relationships/hyperlink" Target="https://finance.yahoo.com/quote/CY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2250</v>
      </c>
      <c r="D2" s="3">
        <v>43943</v>
      </c>
      <c r="E2" s="3">
        <v>2800</v>
      </c>
      <c r="F2" s="3">
        <v>48513</v>
      </c>
      <c r="G2" s="3">
        <v>94626</v>
      </c>
      <c r="H2" s="3">
        <v>6089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2600</v>
      </c>
      <c r="D3" s="3">
        <v>17693</v>
      </c>
      <c r="E3" s="3">
        <v>0</v>
      </c>
      <c r="F3" s="3">
        <v>24037</v>
      </c>
      <c r="G3" s="3">
        <v>41872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715711</v>
      </c>
      <c r="E5" s="3">
        <v>1597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61659</v>
      </c>
      <c r="C6" s="3">
        <v>256631</v>
      </c>
      <c r="D6" s="3">
        <v>468667</v>
      </c>
      <c r="E6" s="3">
        <v>1802275</v>
      </c>
      <c r="F6" s="3">
        <v>418066</v>
      </c>
      <c r="G6" s="3">
        <v>648831</v>
      </c>
      <c r="H6" s="3">
        <v>1142477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195903</v>
      </c>
      <c r="C7" s="3">
        <v>847665</v>
      </c>
      <c r="D7" s="3">
        <v>551353</v>
      </c>
      <c r="E7" s="3">
        <v>463781</v>
      </c>
      <c r="F7" s="3">
        <v>871760</v>
      </c>
      <c r="G7" s="3">
        <v>1976471</v>
      </c>
      <c r="H7" s="3">
        <v>3915778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307</v>
      </c>
      <c r="D10" s="3">
        <v>280</v>
      </c>
      <c r="E10" s="3">
        <v>6431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0</v>
      </c>
      <c r="M10" s="3">
        <v>20989</v>
      </c>
      <c r="N10" s="3">
        <v>47936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-1378</v>
      </c>
      <c r="D11" s="3">
        <v>-1244</v>
      </c>
      <c r="E11" s="3">
        <v>0</v>
      </c>
      <c r="F11" s="3">
        <v>1494</v>
      </c>
      <c r="G11" s="3">
        <v>21784</v>
      </c>
      <c r="H11" s="3">
        <v>48831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-2756</v>
      </c>
      <c r="D12" s="3">
        <v>-2488</v>
      </c>
      <c r="E12" s="3">
        <v>0</v>
      </c>
      <c r="F12" s="3">
        <v>0</v>
      </c>
      <c r="G12" s="3">
        <v>-20194</v>
      </c>
      <c r="H12" s="3">
        <v>-47041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2409</v>
      </c>
      <c r="D22" s="3">
        <v>3160</v>
      </c>
      <c r="E22" s="3">
        <v>3809</v>
      </c>
      <c r="F22" s="3">
        <v>6472</v>
      </c>
      <c r="G22" s="3">
        <v>40866</v>
      </c>
      <c r="H22" s="3">
        <v>47615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787771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188627</v>
      </c>
      <c r="C24" s="3">
        <v>366274</v>
      </c>
      <c r="D24" s="3">
        <v>1101427</v>
      </c>
      <c r="E24" s="3">
        <v>1938131</v>
      </c>
      <c r="F24" s="3">
        <v>1026420</v>
      </c>
      <c r="G24" s="3">
        <v>451364</v>
      </c>
      <c r="H24" s="3">
        <v>2670913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-5000</v>
      </c>
      <c r="D26" s="3">
        <v>47824</v>
      </c>
      <c r="E26" s="3">
        <v>1030</v>
      </c>
      <c r="F26" s="3">
        <v>133456</v>
      </c>
      <c r="G26" s="3">
        <v>68414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143058</v>
      </c>
      <c r="G36" s="3">
        <v>170605</v>
      </c>
      <c r="H36" s="3">
        <v>122990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71862</v>
      </c>
      <c r="C37" s="3">
        <v>116936</v>
      </c>
      <c r="D37" s="3">
        <v>0</v>
      </c>
      <c r="E37" s="3">
        <v>0</v>
      </c>
      <c r="F37" s="3">
        <v>1584346</v>
      </c>
      <c r="G37" s="3">
        <v>1273054</v>
      </c>
      <c r="H37" s="3">
        <v>911009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62298</v>
      </c>
      <c r="C38" s="3">
        <v>305090</v>
      </c>
      <c r="D38" s="3">
        <v>0</v>
      </c>
      <c r="E38" s="3">
        <v>0</v>
      </c>
      <c r="F38" s="3">
        <v>584440</v>
      </c>
      <c r="G38" s="3">
        <v>406810</v>
      </c>
      <c r="H38" s="3">
        <v>449217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L37-L38</f>
      </c>
      <c r="G39" s="3">
        <f>M37-M38</f>
      </c>
      <c r="H39" s="3">
        <f>N37-N38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