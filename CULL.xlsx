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<sst xmlns="http://schemas.openxmlformats.org/spreadsheetml/2006/main" count="72" uniqueCount="69">
  <si>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</si>
  <si>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</si>
  <si>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</si>
  <si>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</si>
  <si>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</si>
  <si>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</si>
  <si>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</si>
  <si>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</si>
  <si>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</si>
  <si>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</si>
  <si>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</si>
  <si>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</si>
  <si>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</si>
  <si>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</si>
  <si>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</si>
  <si>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</si>
  <si>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</si>
  <si>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</si>
  <si>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</si>
  <si>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</si>
  <si>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</si>
  <si>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</si>
  <si>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</si>
  <si>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</si>
  <si>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</si>
  <si>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</si>
  <si>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</si>
  <si>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</si>
  <si>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</si>
  <si>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</si>
  <si>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</si>
  <si>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</si>
  <si>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</si>
  <si>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</si>
  <si>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</si>
  <si>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</si>
  <si>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</si>
  <si>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</si>
  <si>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</si>
  <si>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</si>
  <si>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</si>
  <si>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</si>
  <si>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</si>
  <si>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</si>
  <si>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</si>
  <si>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</si>
  <si>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https://finance.yahoo.com/quote/CULL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</si>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</sst>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CULL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CULL" TargetMode="External"/><Relationship Id="rId5" Type="http://schemas.openxmlformats.org/officeDocument/2006/relationships/hyperlink" Target="https://finance.yahoo.com/quote/CULL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15" x14ac:dyDescent="0.25">
      <c r="A1" s="1" t="s">
        <v>0</v>
      </c>
      <c r="B1" s="2">
        <v>2020</v>
      </c>
      <c r="C1" s="2">
        <v>2021</v>
      </c>
      <c r="D1" s="2">
        <v>2022</v>
      </c>
      <c r="E1" s="2">
        <v>2023</v>
      </c>
      <c r="F1" s="2">
        <v>2024</v>
      </c>
      <c r="G1" s="2">
        <v>2025</v>
      </c>
      <c r="H1" s="2">
        <v>2026</v>
      </c>
      <c r="I1" s="2">
        <v>2027</v>
      </c>
      <c r="J1" s="2">
        <v>2028</v>
      </c>
      <c r="K1" s="2">
        <v>2029</v>
      </c>
      <c r="L1" s="2">
        <v>2030</v>
      </c>
      <c r="M1" s="2">
        <v>2031</v>
      </c>
      <c r="N1" s="2">
        <v>2032</v>
      </c>
      <c r="O1" s="2">
        <v>2033</v>
      </c>
    </row>
    <row r="2" spans="1:15" x14ac:dyDescent="0.25">
      <c r="A2" s="2" t="s">
        <v>1</v>
      </c>
      <c r="B2" s="3">
        <v>1449</v>
      </c>
      <c r="C2" s="3">
        <v>1509</v>
      </c>
      <c r="D2" s="3">
        <v>1686</v>
      </c>
      <c r="E2" s="3"/>
      <c r="F2" s="3"/>
      <c r="G2" s="3"/>
      <c r="H2" s="3"/>
      <c r="I2" s="3"/>
      <c r="J2" s="3"/>
      <c r="K2" s="3"/>
      <c r="L2" s="3"/>
      <c r="M2" s="3"/>
      <c r="N2" s="3"/>
      <c r="O2" s="3"/>
    </row>
    <row r="3" spans="1:15" x14ac:dyDescent="0.25">
      <c r="A3" s="2" t="s">
        <v>2</v>
      </c>
      <c r="B3" s="3">
        <v>0</v>
      </c>
      <c r="C3" s="3">
        <v>0</v>
      </c>
      <c r="D3" s="3">
        <v>0</v>
      </c>
      <c r="E3" s="3"/>
      <c r="F3" s="3"/>
      <c r="G3" s="3"/>
      <c r="H3" s="3"/>
      <c r="I3" s="3"/>
      <c r="J3" s="3"/>
      <c r="K3" s="3"/>
      <c r="L3" s="3"/>
      <c r="M3" s="3"/>
      <c r="N3" s="3"/>
      <c r="O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>
        <f>P2-P3</f>
      </c>
      <c r="Q4">
        <f>Q2-Q3</f>
      </c>
      <c r="R4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15" x14ac:dyDescent="0.25">
      <c r="A5" s="2" t="s">
        <v>4</v>
      </c>
      <c r="B5" s="3">
        <v>0</v>
      </c>
      <c r="C5" s="3">
        <v>0</v>
      </c>
      <c r="D5" s="3">
        <v>0</v>
      </c>
      <c r="E5" s="3"/>
      <c r="F5" s="3"/>
      <c r="G5" s="3"/>
      <c r="H5" s="3"/>
      <c r="I5" s="3"/>
      <c r="J5" s="3"/>
      <c r="K5" s="3"/>
      <c r="L5" s="3"/>
      <c r="M5" s="3"/>
      <c r="N5" s="3"/>
      <c r="O5" s="3"/>
    </row>
    <row r="6" spans="1:15" x14ac:dyDescent="0.25">
      <c r="A6" s="2" t="s">
        <v>5</v>
      </c>
      <c r="B6" s="3">
        <v>6079</v>
      </c>
      <c r="C6" s="3">
        <v>6839</v>
      </c>
      <c r="D6" s="3">
        <v>7929</v>
      </c>
      <c r="E6" s="3"/>
      <c r="F6" s="3"/>
      <c r="G6" s="3"/>
      <c r="H6" s="3"/>
      <c r="I6" s="3"/>
      <c r="J6" s="3"/>
      <c r="K6" s="3"/>
      <c r="L6" s="3"/>
      <c r="M6" s="3"/>
      <c r="N6" s="3"/>
      <c r="O6" s="3"/>
    </row>
    <row r="7" spans="1:15" x14ac:dyDescent="0.25">
      <c r="A7" s="2" t="s">
        <v>6</v>
      </c>
      <c r="B7" s="3">
        <v>2020</v>
      </c>
      <c r="C7" s="3">
        <v>4100</v>
      </c>
      <c r="D7" s="3">
        <v>3199</v>
      </c>
      <c r="E7" s="3"/>
      <c r="F7" s="3"/>
      <c r="G7" s="3"/>
      <c r="H7" s="3"/>
      <c r="I7" s="3"/>
      <c r="J7" s="3"/>
      <c r="K7" s="3"/>
      <c r="L7" s="3"/>
      <c r="M7" s="3"/>
      <c r="N7" s="3"/>
      <c r="O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>
        <f>P5+P6+P7</f>
      </c>
      <c r="Q8">
        <f>Q5+Q6+Q7</f>
      </c>
      <c r="R8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>
        <f>P4-P8</f>
      </c>
      <c r="Q9">
        <f>Q4-Q8</f>
      </c>
      <c r="R9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s="2" t="s">
        <v>9</v>
      </c>
      <c r="B10" s="3">
        <v>14172</v>
      </c>
      <c r="C10" s="3">
        <v>13370</v>
      </c>
      <c r="D10" s="3">
        <v>16529</v>
      </c>
      <c r="E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F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15" x14ac:dyDescent="0.25">
      <c r="A11" s="2" t="s">
        <v>10</v>
      </c>
      <c r="B11" s="3">
        <v>2867</v>
      </c>
      <c r="C11" s="3">
        <v>1786</v>
      </c>
      <c r="D11" s="3">
        <v>1365</v>
      </c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</row>
    <row r="12" spans="1:15" x14ac:dyDescent="0.25">
      <c r="A12" s="2" t="s">
        <v>11</v>
      </c>
      <c r="B12" s="3">
        <v>0</v>
      </c>
      <c r="C12" s="3">
        <v>0</v>
      </c>
      <c r="D12" s="3">
        <v>0</v>
      </c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>
        <f>P10-P11+P12</f>
      </c>
      <c r="Q13">
        <f>Q10-Q11+Q12</f>
      </c>
      <c r="R13">
        <f>R10-R11+R12</f>
      </c>
      <c r="S13">
        <f>S10-S11+S12</f>
      </c>
      <c r="T13">
        <f>T10-T11+T12</f>
      </c>
      <c r="U13">
        <f>U10-U11+U12</f>
      </c>
      <c r="V13">
        <f>V10-V11+V12</f>
      </c>
      <c r="W13">
        <f>W10-W11+W12</f>
      </c>
      <c r="X13">
        <f>X10-X11+X12</f>
      </c>
      <c r="Y13">
        <f>Y10-Y11+Y12</f>
      </c>
      <c r="Z13">
        <f>Z10-Z11+Z12</f>
      </c>
    </row>
    <row r="14" spans="1:15" x14ac:dyDescent="0.25">
      <c r="A14" s="2" t="s">
        <v>13</v>
      </c>
      <c r="B14" s="3">
        <v>152</v>
      </c>
      <c r="C14" s="3">
        <v>60</v>
      </c>
      <c r="D14" s="3">
        <v>438</v>
      </c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>
        <f>P9+P13-P14</f>
      </c>
      <c r="Q15">
        <f>Q9+Q13-Q14</f>
      </c>
      <c r="R15">
        <f>R9+R13-R14</f>
      </c>
      <c r="S15">
        <f>S9+S13-S14</f>
      </c>
      <c r="T15">
        <f>T9+T13-T14</f>
      </c>
      <c r="U15">
        <f>U9+U13-U14</f>
      </c>
      <c r="V15">
        <f>V9+V13-V14</f>
      </c>
      <c r="W15">
        <f>W9+W13-W14</f>
      </c>
      <c r="X15">
        <f>X9+X13-X14</f>
      </c>
      <c r="Y15">
        <f>Y9+Y13-Y14</f>
      </c>
      <c r="Z15">
        <f>Z9+Z13-Z14</f>
      </c>
    </row>
    <row r="16" spans="1:15" x14ac:dyDescent="0.25">
      <c r="A16" s="2" t="s">
        <v>15</v>
      </c>
      <c r="B16" s="3">
        <v>957</v>
      </c>
      <c r="C16" s="3">
        <v>344</v>
      </c>
      <c r="D16" s="3">
        <v>1101</v>
      </c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</row>
    <row r="17" spans="1:15" x14ac:dyDescent="0.25">
      <c r="A17" s="2" t="s">
        <v>16</v>
      </c>
      <c r="B17" s="3">
        <v>0</v>
      </c>
      <c r="C17" s="3">
        <v>0</v>
      </c>
      <c r="D17" s="3">
        <v>0</v>
      </c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</row>
    <row r="18" spans="1:15" x14ac:dyDescent="0.25">
      <c r="A18" s="2" t="s">
        <v>17</v>
      </c>
      <c r="B18" s="3">
        <v>0</v>
      </c>
      <c r="C18" s="3">
        <v>0</v>
      </c>
      <c r="D18" s="3">
        <v>0</v>
      </c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</row>
    <row r="19" spans="1:15" x14ac:dyDescent="0.25">
      <c r="A19" s="2" t="s">
        <v>18</v>
      </c>
      <c r="B19" s="3">
        <v>0</v>
      </c>
      <c r="C19" s="3">
        <v>0</v>
      </c>
      <c r="D19" s="3">
        <v>0</v>
      </c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>
        <f>P15-P16+P17-P18+P19</f>
      </c>
      <c r="Q20">
        <f>Q15-Q16+Q17-Q18+Q19</f>
      </c>
      <c r="R20">
        <f>R15-R16+R17-R18+R19</f>
      </c>
      <c r="S20">
        <f>S15-S16+S17-S18+S19</f>
      </c>
      <c r="T20">
        <f>T15-T16+T17-T18+T19</f>
      </c>
      <c r="U20">
        <f>U15-U16+U17-U18+U19</f>
      </c>
      <c r="V20">
        <f>V15-V16+V17-V18+V19</f>
      </c>
      <c r="W20">
        <f>W15-W16+W17-W18+W19</f>
      </c>
      <c r="X20">
        <f>X15-X16+X17-X18+X19</f>
      </c>
      <c r="Y20">
        <f>Y15-Y16+Y17-Y18+Y19</f>
      </c>
      <c r="Z20">
        <f>Z15-Z16+Z17-Z18+Z19</f>
      </c>
    </row>
    <row r="21" spans="1:15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</row>
    <row r="22" spans="1:15" x14ac:dyDescent="0.25">
      <c r="A22" s="2" t="s">
        <v>20</v>
      </c>
      <c r="B22" s="3">
        <v>577</v>
      </c>
      <c r="C22" s="3">
        <v>473</v>
      </c>
      <c r="D22" s="3">
        <v>335</v>
      </c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</row>
    <row r="23" spans="1:15" x14ac:dyDescent="0.25">
      <c r="A23" s="2" t="s">
        <v>21</v>
      </c>
      <c r="B23" s="3">
        <v>243</v>
      </c>
      <c r="C23" s="3">
        <v>556</v>
      </c>
      <c r="D23" s="3">
        <v>556</v>
      </c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</row>
    <row r="24" spans="1:15" x14ac:dyDescent="0.25">
      <c r="A24" s="2" t="s">
        <v>22</v>
      </c>
      <c r="B24" s="3">
        <v>-922</v>
      </c>
      <c r="C24" s="3">
        <v>2447</v>
      </c>
      <c r="D24" s="3">
        <v>694</v>
      </c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>
        <f>P20+P22+P23+P24</f>
      </c>
      <c r="Q25">
        <f>Q20+Q22+Q23+Q24</f>
      </c>
      <c r="R25">
        <f>R20+R22+R23+R24</f>
      </c>
      <c r="S25">
        <f>S20+S22+S23+S24</f>
      </c>
      <c r="T25">
        <f>T20+T22+T23+T24</f>
      </c>
      <c r="U25">
        <f>U20+U22+U23+U24</f>
      </c>
      <c r="V25">
        <f>V20+V22+V23+V24</f>
      </c>
      <c r="W25">
        <f>W20+W22+W23+W24</f>
      </c>
      <c r="X25">
        <f>X20+X22+X23+X24</f>
      </c>
      <c r="Y25">
        <f>Y20+Y22+Y23+Y24</f>
      </c>
      <c r="Z25">
        <f>Z20+Z22+Z23+Z24</f>
      </c>
    </row>
    <row r="26" spans="1:15" x14ac:dyDescent="0.25">
      <c r="A26" s="2" t="s">
        <v>24</v>
      </c>
      <c r="B26" s="3">
        <v>430</v>
      </c>
      <c r="C26" s="3">
        <v>1305</v>
      </c>
      <c r="D26" s="3">
        <v>1743</v>
      </c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>
        <f>P25-P26</f>
      </c>
      <c r="Q27">
        <f>Q25-Q26</f>
      </c>
      <c r="R27">
        <f>R25-R26</f>
      </c>
      <c r="S27">
        <f>S25-S26</f>
      </c>
      <c r="T27">
        <f>T25-T26</f>
      </c>
      <c r="U27">
        <f>U25-U26</f>
      </c>
      <c r="V27">
        <f>V25-V26</f>
      </c>
      <c r="W27">
        <f>W25-W26</f>
      </c>
      <c r="X27">
        <f>X25-X26</f>
      </c>
      <c r="Y27">
        <f>Y25-Y26</f>
      </c>
      <c r="Z27">
        <f>Z25-Z26</f>
      </c>
    </row>
    <row r="28" spans="1:15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>
        <f>IF(AND(COUNT(O2,P2)=2, P2&lt;&gt;0, O2&lt;&gt;0), P2/O2-1, " ")</f>
      </c>
      <c r="Q29">
        <f>IF(AND(COUNT(P2,Q2)=2, Q2&lt;&gt;0, P2&lt;&gt;0), Q2/P2-1, " ")</f>
      </c>
      <c r="R29">
        <f>IF(AND(COUNT(Q2,R2)=2, R2&lt;&gt;0, Q2&lt;&gt;0), R2/Q2-1, " ")</f>
      </c>
      <c r="S29">
        <f>IF(AND(COUNT(R2,S2)=2, S2&lt;&gt;0, R2&lt;&gt;0), S2/R2-1, " ")</f>
      </c>
      <c r="T29">
        <f>IF(AND(COUNT(S2,T2)=2, T2&lt;&gt;0, S2&lt;&gt;0), T2/S2-1, " ")</f>
      </c>
      <c r="U29">
        <f>IF(AND(COUNT(T2,U2)=2, U2&lt;&gt;0, T2&lt;&gt;0), U2/T2-1, " ")</f>
      </c>
      <c r="V29">
        <f>IF(AND(COUNT(U2,V2)=2, V2&lt;&gt;0, U2&lt;&gt;0), V2/U2-1, " ")</f>
      </c>
      <c r="W29">
        <f>IF(AND(COUNT(V2,W2)=2, W2&lt;&gt;0, V2&lt;&gt;0), W2/V2-1, " ")</f>
      </c>
      <c r="X29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>
        <f>IF(AND(COUNT(P2,P4)=2, P2&lt;&gt;0), P4/P2, " ")</f>
      </c>
      <c r="Q30">
        <f>IF(AND(COUNT(Q2,Q4)=2, Q2&lt;&gt;0), Q4/Q2, " ")</f>
      </c>
      <c r="R30">
        <f>IF(AND(COUNT(R2,R4)=2, R2&lt;&gt;0), R4/R2, " ")</f>
      </c>
      <c r="S30">
        <f>IF(AND(COUNT(S2,S4)=2, S2&lt;&gt;0), S4/S2, " ")</f>
      </c>
      <c r="T30">
        <f>IF(AND(COUNT(T2,T4)=2, T2&lt;&gt;0), T4/T2, " ")</f>
      </c>
      <c r="U30">
        <f>IF(AND(COUNT(U2,U4)=2, U2&lt;&gt;0), U4/U2, " ")</f>
      </c>
      <c r="V30">
        <f>IF(AND(COUNT(V2,V4)=2, V2&lt;&gt;0), V4/V2, " ")</f>
      </c>
      <c r="W30">
        <f>IF(AND(COUNT(W2,W4)=2, W2&lt;&gt;0), W4/W2, " ")</f>
      </c>
      <c r="X30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>
        <f>IF(AND(COUNT(P2,P9)=2, P2&lt;&gt;0), P9/P2, " ")</f>
      </c>
      <c r="Q31">
        <f>IF(AND(COUNT(Q2,Q9)=2, Q2&lt;&gt;0), Q9/Q2, " ")</f>
      </c>
      <c r="R31">
        <f>IF(AND(COUNT(R2,R9)=2, R2&lt;&gt;0), R9/R2, " ")</f>
      </c>
      <c r="S31">
        <f>IF(AND(COUNT(S2,S9)=2, S2&lt;&gt;0), S9/S2, " ")</f>
      </c>
      <c r="T31">
        <f>IF(AND(COUNT(T2,T9)=2, T2&lt;&gt;0), T9/T2, " ")</f>
      </c>
      <c r="U31">
        <f>IF(AND(COUNT(U2,U9)=2, U2&lt;&gt;0), U9/U2, " ")</f>
      </c>
      <c r="V31">
        <f>IF(AND(COUNT(V2,V9)=2, V2&lt;&gt;0), V9/V2, " ")</f>
      </c>
      <c r="W31">
        <f>IF(AND(COUNT(W2,W9)=2, W2&lt;&gt;0), W9/W2, " ")</f>
      </c>
      <c r="X31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>
        <f>IF(AND(COUNT(P15,P15)=2, P15&lt;&gt;0), P16/P15, " ")</f>
      </c>
      <c r="Q32">
        <f>IF(AND(COUNT(Q15,Q15)=2, Q15&lt;&gt;0), Q16/Q15, " ")</f>
      </c>
      <c r="R32">
        <f>IF(AND(COUNT(R15,R15)=2, R15&lt;&gt;0), R16/R15, " ")</f>
      </c>
      <c r="S32">
        <f>IF(AND(COUNT(S15,S15)=2, S15&lt;&gt;0), S16/S15, " ")</f>
      </c>
      <c r="T32">
        <f>IF(AND(COUNT(T15,T15)=2, T15&lt;&gt;0), T16/T15, " ")</f>
      </c>
      <c r="U32">
        <f>IF(AND(COUNT(U15,U15)=2, U15&lt;&gt;0), U16/U15, " ")</f>
      </c>
      <c r="V32">
        <f>IF(AND(COUNT(V15,V15)=2, V15&lt;&gt;0), V16/V15, " ")</f>
      </c>
      <c r="W32">
        <f>IF(AND(COUNT(W15,W15)=2, W15&lt;&gt;0), W16/W15, " ")</f>
      </c>
      <c r="X32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>
        <f>IF(AND(COUNT(P20,P2)=2, P2&lt;&gt;0), P20/P2, " ")</f>
      </c>
      <c r="Q33">
        <f>IF(AND(COUNT(Q20,Q2)=2, Q2&lt;&gt;0), Q20/Q2, " ")</f>
      </c>
      <c r="R33">
        <f>IF(AND(COUNT(R20,R2)=2, R2&lt;&gt;0), R20/R2, " ")</f>
      </c>
      <c r="S33">
        <f>IF(AND(COUNT(S20,S2)=2, S2&lt;&gt;0), S20/S2, " ")</f>
      </c>
      <c r="T33">
        <f>IF(AND(COUNT(T20,T2)=2, T2&lt;&gt;0), T20/T2, " ")</f>
      </c>
      <c r="U33">
        <f>IF(AND(COUNT(U20,U2)=2, U2&lt;&gt;0), U20/U2, " ")</f>
      </c>
      <c r="V33">
        <f>IF(AND(COUNT(V20,V2)=2, V2&lt;&gt;0), V20/V2, " ")</f>
      </c>
      <c r="W33">
        <f>IF(AND(COUNT(W20,W2)=2, W2&lt;&gt;0), W20/W2, " ")</f>
      </c>
      <c r="X33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>
        <f>IF(AND(COUNT(O27,P27)=2, P27&lt;&gt;0, O2&lt;&gt;0), P27/O27-1, " ")</f>
      </c>
      <c r="Q34">
        <f>IF(AND(COUNT(P27,Q27)=2, Q27&lt;&gt;0, P2&lt;&gt;0), Q27/P27-1, " ")</f>
      </c>
      <c r="R34">
        <f>IF(AND(COUNT(Q27,R27)=2, R27&lt;&gt;0, Q2&lt;&gt;0), R27/Q27-1, " ")</f>
      </c>
      <c r="S34">
        <f>IF(AND(COUNT(R27,S27)=2, S27&lt;&gt;0, R2&lt;&gt;0), S27/R27-1, " ")</f>
      </c>
      <c r="T34">
        <f>IF(AND(COUNT(S27,T27)=2, T27&lt;&gt;0, S2&lt;&gt;0), T27/S27-1, " ")</f>
      </c>
      <c r="U34">
        <f>IF(AND(COUNT(T27,U27)=2, U27&lt;&gt;0, T2&lt;&gt;0), U27/T27-1, " ")</f>
      </c>
      <c r="V34">
        <f>IF(AND(COUNT(U27,V27)=2, V27&lt;&gt;0, U2&lt;&gt;0), V27/U27-1, " ")</f>
      </c>
      <c r="W34">
        <f>IF(AND(COUNT(V27,W27)=2, W27&lt;&gt;0, V2&lt;&gt;0), W27/V27-1, " ")</f>
      </c>
      <c r="X3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5" spans="1:15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</row>
    <row r="36" spans="1:15" x14ac:dyDescent="0.25">
      <c r="A36" s="2" t="s">
        <v>32</v>
      </c>
      <c r="B36" s="3">
        <v>8576</v>
      </c>
      <c r="C36" s="3">
        <v>9484</v>
      </c>
      <c r="D36" s="3">
        <v>10851</v>
      </c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</row>
    <row r="37" spans="1:15" x14ac:dyDescent="0.25">
      <c r="A37" s="2" t="s">
        <v>33</v>
      </c>
      <c r="B37" s="3">
        <v>331396</v>
      </c>
      <c r="C37" s="3">
        <v>354709</v>
      </c>
      <c r="D37" s="3">
        <v>423229</v>
      </c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</row>
    <row r="38" spans="1:15" x14ac:dyDescent="0.25">
      <c r="A38" s="2" t="s">
        <v>34</v>
      </c>
      <c r="B38" s="3">
        <v>274521</v>
      </c>
      <c r="C38" s="3">
        <v>254975</v>
      </c>
      <c r="D38" s="3">
        <v>323047</v>
      </c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</row>
    <row r="39" spans="1:15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36</v>
      </c>
    </row>
    <row r="3" spans="1:3" x14ac:dyDescent="0.25">
      <c r="A3" t="s">
        <v>37</v>
      </c>
      <c r="B3">
        <f>MATCH("Free Cash Flow to Firm", Financials!A:A, 0)</f>
      </c>
      <c r="C3" t="s">
        <v>38</v>
      </c>
    </row>
    <row r="4" spans="1:2" x14ac:dyDescent="0.25">
      <c r="A4" t="s">
        <v>39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40</v>
      </c>
      <c r="B6" s="4"/>
      <c r="C6" t="s">
        <v>41</v>
      </c>
    </row>
    <row r="7" spans="1:3" x14ac:dyDescent="0.25">
      <c r="A7" s="2" t="s">
        <v>42</v>
      </c>
      <c r="B7" s="4"/>
      <c r="C7" t="s">
        <v>43</v>
      </c>
    </row>
    <row r="8" spans="1:4" x14ac:dyDescent="0.25">
      <c r="A8" s="2" t="s">
        <v>44</v>
      </c>
      <c r="C8" t="s">
        <v>45</v>
      </c>
      <c r="D8" t="s">
        <v>46</v>
      </c>
    </row>
    <row r="9" spans="1:4" x14ac:dyDescent="0.25">
      <c r="A9" s="2" t="s">
        <v>47</v>
      </c>
      <c r="B9" s="4"/>
      <c r="C9" t="s">
        <v>48</v>
      </c>
      <c r="D9" t="s">
        <v>49</v>
      </c>
    </row>
    <row r="10" spans="1:4" x14ac:dyDescent="0.25">
      <c r="A10" s="2" t="s">
        <v>50</v>
      </c>
      <c r="B10" s="4"/>
      <c r="C10" t="s">
        <v>51</v>
      </c>
      <c r="D10" t="s">
        <v>52</v>
      </c>
    </row>
    <row r="11" spans="1:2" x14ac:dyDescent="0.25">
      <c r="A11" s="2" t="s">
        <v>53</v>
      </c>
      <c r="B11" s="4">
        <f>B10+B9*B8</f>
      </c>
    </row>
    <row r="12" spans="1:3" x14ac:dyDescent="0.25">
      <c r="A12" s="2" t="s">
        <v>54</v>
      </c>
      <c r="B12" s="4"/>
      <c r="C12" t="s">
        <v>55</v>
      </c>
    </row>
    <row r="13" spans="1:4" x14ac:dyDescent="0.25">
      <c r="A13" s="2" t="s">
        <v>56</v>
      </c>
      <c r="B13" s="3"/>
      <c r="C13" t="s">
        <v>57</v>
      </c>
      <c r="D13" t="s">
        <v>46</v>
      </c>
    </row>
    <row r="14" spans="1:3" x14ac:dyDescent="0.25">
      <c r="A14" s="2" t="s">
        <v>58</v>
      </c>
      <c r="B14" s="3"/>
      <c r="C14" t="s">
        <v>59</v>
      </c>
    </row>
    <row r="15" spans="1:2" x14ac:dyDescent="0.25">
      <c r="A15" t="s">
        <v>60</v>
      </c>
      <c r="B15" s="4">
        <f>IF(B13+B14&lt;&gt;0,((B13/(B13+B14))*B11)+((B14/(B13+B14))*B12*B7), 0)</f>
      </c>
    </row>
    <row r="16" spans="1:2" x14ac:dyDescent="0.25">
      <c r="A16" t="s">
        <v>61</v>
      </c>
      <c r="B16" s="4">
        <f>IF(B4-NOW()&gt;=0, MIN(YEARFRAC(NOW(),B4),1), 0)</f>
      </c>
    </row>
    <row r="17" spans="1:2" x14ac:dyDescent="0.25">
      <c r="A17" t="s">
        <v>62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63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64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65</v>
      </c>
      <c r="B20" s="3"/>
      <c r="C20" t="s">
        <v>66</v>
      </c>
    </row>
    <row r="21" spans="1:4" x14ac:dyDescent="0.25">
      <c r="A21" s="2" t="s">
        <v>67</v>
      </c>
      <c r="B21" s="3"/>
      <c r="C21" t="s">
        <v>57</v>
      </c>
      <c r="D21" t="s">
        <v>46</v>
      </c>
    </row>
    <row r="22" spans="1:2" x14ac:dyDescent="0.25">
      <c r="A22" t="s">
        <v>68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2023-12-22T01:47:34Z</cp:lastPrinted>
  <dcterms:created xsi:type="dcterms:W3CDTF">2023-12-22T01:47:34Z</dcterms:created>
  <dcterms:modified xsi:type="dcterms:W3CDTF">2023-12-22T01:47:34Z</dcterms:modified>
</cp:coreProperties>
</file>